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sena4-my.sharepoint.com/personal/atorod_sena_edu_co/Documents/ONEDRIVE/Docs en revision_Resp Lab/Formatos Software LIBA/"/>
    </mc:Choice>
  </mc:AlternateContent>
  <xr:revisionPtr revIDLastSave="107" documentId="8_{D68EE607-1E7D-488C-9CE6-FCB4D5EE8E2F}" xr6:coauthVersionLast="47" xr6:coauthVersionMax="47" xr10:uidLastSave="{829067AB-D2A8-4B37-82F1-AB1381755B57}"/>
  <bookViews>
    <workbookView xWindow="35295" yWindow="3675" windowWidth="19185" windowHeight="10065" activeTab="2" xr2:uid="{D4B67217-2858-468A-B4A9-C329DA32AE11}"/>
  </bookViews>
  <sheets>
    <sheet name="Litado" sheetId="5" r:id="rId1"/>
    <sheet name="Instructivo" sheetId="7" r:id="rId2"/>
    <sheet name="FORMATO" sheetId="6" r:id="rId3"/>
  </sheets>
  <definedNames>
    <definedName name="_xlnm.Print_Area" localSheetId="2">FORMATO!$A$1:$H$29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6" l="1"/>
  <c r="G22" i="6"/>
  <c r="F22"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<sst xmlns="http://schemas.openxmlformats.org/spreadsheetml/2006/main" count="331" uniqueCount="214">
  <si>
    <t>SERVICIO NACIONAL DE APRENDIZAJE SENA</t>
  </si>
  <si>
    <t>SISTEMA DE GESTIÓN CALIDAD</t>
  </si>
  <si>
    <t xml:space="preserve"> LABORATORIO INTEGRADO DE BIOCIENCIAS APLICADAS</t>
  </si>
  <si>
    <t>Código: GIC-F-A-14</t>
  </si>
  <si>
    <t xml:space="preserve">Nombre del Solicitante:  </t>
  </si>
  <si>
    <t>Empresa:</t>
  </si>
  <si>
    <t xml:space="preserve"> </t>
  </si>
  <si>
    <t>Dirección:</t>
  </si>
  <si>
    <t>Ciudad:</t>
  </si>
  <si>
    <t>Número de la solicitud:</t>
  </si>
  <si>
    <r>
      <t xml:space="preserve">Fecha de solicitud: </t>
    </r>
    <r>
      <rPr>
        <i/>
        <sz val="9"/>
        <rFont val="Calibri"/>
        <family val="2"/>
        <scheme val="minor"/>
      </rPr>
      <t xml:space="preserve">(aaaa/mm/dd) </t>
    </r>
  </si>
  <si>
    <t>Solicitud recibida a través de:</t>
  </si>
  <si>
    <t>Tipo de servicio solicitado:</t>
  </si>
  <si>
    <t>Nombre de la muestra:</t>
  </si>
  <si>
    <t>Fecha de vencimiento:</t>
  </si>
  <si>
    <t>Tipo de empaque:</t>
  </si>
  <si>
    <t>Información adicional:</t>
  </si>
  <si>
    <t xml:space="preserve">2. DATOS DEL SOLICITANTE </t>
  </si>
  <si>
    <t>1. DATOS DE LA SOLICITUD</t>
  </si>
  <si>
    <t xml:space="preserve">3. REQUERIMIENTO DEL SERVICIO </t>
  </si>
  <si>
    <t>NIT:</t>
  </si>
  <si>
    <t>Firma de la persona que registra:</t>
  </si>
  <si>
    <t>¿Se especifíca el tipo de producto?</t>
  </si>
  <si>
    <t>¿Se indica claramente el ensayo o servicio requerido?</t>
  </si>
  <si>
    <t>¿Se disponen de los equipos apropiados con calibraciones vigentes?</t>
  </si>
  <si>
    <t>¿Se dispone de personal con competencia técnica para ejecutar el o los ensayos?</t>
  </si>
  <si>
    <t>¿Se cuenta con infraestructura adecuada?</t>
  </si>
  <si>
    <t>¿Se dispone de insumos, reactivos y medios de cultivo vigentes?</t>
  </si>
  <si>
    <t>¿El área puede cumplir con los tiempos de entrega solicitados?</t>
  </si>
  <si>
    <t>Respuesta
Si/No</t>
  </si>
  <si>
    <t>Pregunta:</t>
  </si>
  <si>
    <t>¿Se especifican normas o métodos requeridos por el cliente?</t>
  </si>
  <si>
    <t>¿El laboratorio cuenta con el método validado/verificado para el ensayo y matriz solicitada?</t>
  </si>
  <si>
    <t>¿El método ofertado por el laboratorio es adecuado al solicitado por el cliente?</t>
  </si>
  <si>
    <t>Resultado:</t>
  </si>
  <si>
    <t>Nombre del responsable técnico que registra:</t>
  </si>
  <si>
    <t>Firma del responsable técnico que registra:</t>
  </si>
  <si>
    <t>Fecha estimada de la ejecución del ensayo:</t>
  </si>
  <si>
    <t>4.1 Información suministrada por el cliente</t>
  </si>
  <si>
    <t>4.3 Verificación de la oferta</t>
  </si>
  <si>
    <t xml:space="preserve">4.2 Capacidad del laboratorio </t>
  </si>
  <si>
    <t>4.4 Observaciones técnicas</t>
  </si>
  <si>
    <t xml:space="preserve">4.5 Concepto final </t>
  </si>
  <si>
    <t>4. VIABILIDAD TÉCNICA
(Información diligenciada por el Responsable Técnico)</t>
  </si>
  <si>
    <r>
      <t xml:space="preserve">Fecha de registro:
</t>
    </r>
    <r>
      <rPr>
        <i/>
        <sz val="9"/>
        <rFont val="Calibri"/>
        <family val="2"/>
        <scheme val="minor"/>
      </rPr>
      <t xml:space="preserve">(aaaa/mm/dd) </t>
    </r>
  </si>
  <si>
    <t>Número de identificación:</t>
  </si>
  <si>
    <t>Celular:</t>
  </si>
  <si>
    <r>
      <t xml:space="preserve">Responsable técnico designado:
</t>
    </r>
    <r>
      <rPr>
        <i/>
        <sz val="9"/>
        <rFont val="Calibri"/>
        <family val="2"/>
        <scheme val="minor"/>
      </rPr>
      <t>(Nombre/cargo)</t>
    </r>
  </si>
  <si>
    <t>Tipo de producto:</t>
  </si>
  <si>
    <t>Lote del producto:</t>
  </si>
  <si>
    <t>Tipo de análisis requerido:</t>
  </si>
  <si>
    <t>Cantidad de muestras:</t>
  </si>
  <si>
    <t>Fecha de entrega de la muestra:</t>
  </si>
  <si>
    <t>Cargo de la persona que registra:</t>
  </si>
  <si>
    <t>5. AUTORIZACIÓN DE VIABILIDAD</t>
  </si>
  <si>
    <t>Parámetro</t>
  </si>
  <si>
    <t>Técnica</t>
  </si>
  <si>
    <t>Unidad</t>
  </si>
  <si>
    <t>Método de referencia</t>
  </si>
  <si>
    <t>Precio</t>
  </si>
  <si>
    <t>Protocolo</t>
  </si>
  <si>
    <t>Matriz</t>
  </si>
  <si>
    <t>Acidez Total</t>
  </si>
  <si>
    <t>Volumetría</t>
  </si>
  <si>
    <t>g/100g</t>
  </si>
  <si>
    <t>AOAC 935.57</t>
  </si>
  <si>
    <t>GIC-PR-T-25</t>
  </si>
  <si>
    <t>Aderezos; Vinos</t>
  </si>
  <si>
    <t>Ácido Acético; Ácido Láctico; Etanol</t>
  </si>
  <si>
    <t>Cromatografía Líquida</t>
  </si>
  <si>
    <t>mg/mL</t>
  </si>
  <si>
    <t>Método Propio</t>
  </si>
  <si>
    <t>GIC-PR-T-21</t>
  </si>
  <si>
    <t>Jugo de Caña; Mosto Fermentado; Mieles</t>
  </si>
  <si>
    <t>Ácido Lácticas</t>
  </si>
  <si>
    <t>Recuento en Placa</t>
  </si>
  <si>
    <t>UFC/g o mL</t>
  </si>
  <si>
    <t>NTC-5034:2021</t>
  </si>
  <si>
    <t xml:space="preserve">GIC-PR-T-24 </t>
  </si>
  <si>
    <t>Yogurt</t>
  </si>
  <si>
    <t>Cenizas</t>
  </si>
  <si>
    <t>Gravimetría</t>
  </si>
  <si>
    <t>%</t>
  </si>
  <si>
    <t>NTC 5155; NTC 3806; AOAC 923.03; AOAC 940.26</t>
  </si>
  <si>
    <t>GIC-PR-T-19</t>
  </si>
  <si>
    <t>Harinas; Bebidas Alcohólicas; Frutas; Cereales</t>
  </si>
  <si>
    <t>Coliformes Totales</t>
  </si>
  <si>
    <t>NTC 4458:2018</t>
  </si>
  <si>
    <t xml:space="preserve">GIC-PR-T-08 </t>
  </si>
  <si>
    <t>Derivados Lácteos; Cereales; Cárnicos Cocidos; Especias</t>
  </si>
  <si>
    <t>Conductividad (Agua)</t>
  </si>
  <si>
    <t>Electrometría</t>
  </si>
  <si>
    <t>uS/cm</t>
  </si>
  <si>
    <t>ISO (1985). 7888 Water quality</t>
  </si>
  <si>
    <t>GIC-PR-T-02</t>
  </si>
  <si>
    <t>Agua potable y destilada</t>
  </si>
  <si>
    <t>E. Coli</t>
  </si>
  <si>
    <t xml:space="preserve">ISO 16649-2:2001 </t>
  </si>
  <si>
    <t>Fructosa</t>
  </si>
  <si>
    <t>ICUMSA Método GS7-23: 2011</t>
  </si>
  <si>
    <t>Artículo</t>
  </si>
  <si>
    <t>Jugo de Caña; Miel; Mosto</t>
  </si>
  <si>
    <t>Fructosa; Glucosa; Sacarosa</t>
  </si>
  <si>
    <t>Glucosa</t>
  </si>
  <si>
    <t>Grado Alcohólico (Hidrometría)</t>
  </si>
  <si>
    <t>Densimetría</t>
  </si>
  <si>
    <t>NTC-5113: 2022</t>
  </si>
  <si>
    <t>GIC-PR-T-03</t>
  </si>
  <si>
    <t>Cerveza; Ron; Hidromiel</t>
  </si>
  <si>
    <t>Grado Alcohólico (Picnometría)</t>
  </si>
  <si>
    <t>Sin Protocolo</t>
  </si>
  <si>
    <t>Viche</t>
  </si>
  <si>
    <t>Humedad</t>
  </si>
  <si>
    <t>AOAC 925.45; NTC 572: 2012</t>
  </si>
  <si>
    <t>GIC-PR-T-17</t>
  </si>
  <si>
    <t>Panela; Azúcar</t>
  </si>
  <si>
    <t>Mesófilos</t>
  </si>
  <si>
    <t>NTC 4158:1997</t>
  </si>
  <si>
    <t>GIC-PR-T-07</t>
  </si>
  <si>
    <t>Cerveza</t>
  </si>
  <si>
    <t>Mohos y levaduras (Alta actividad acuosa)</t>
  </si>
  <si>
    <t>NTC 5698-1:2009</t>
  </si>
  <si>
    <t>GIC-PR-T-09</t>
  </si>
  <si>
    <t>Pulpa Fruta</t>
  </si>
  <si>
    <t>Mohos y levaduras (Baja actividad acuosa)</t>
  </si>
  <si>
    <t>ISO 21527-2:2008</t>
  </si>
  <si>
    <t>Manjar Blanco; Derivados Lácteos</t>
  </si>
  <si>
    <t>Mohos y levaduras (Cerveza)</t>
  </si>
  <si>
    <t>pH (Agua)</t>
  </si>
  <si>
    <t>Electrométrico/Potenciométrico</t>
  </si>
  <si>
    <t>Unidad pH</t>
  </si>
  <si>
    <t xml:space="preserve"> Standard Methods</t>
  </si>
  <si>
    <t>GIC-PR-T-01</t>
  </si>
  <si>
    <t>Agua</t>
  </si>
  <si>
    <t>pH (Bebidas alcohólicas)</t>
  </si>
  <si>
    <t>NTC 5114: 2019; AOAC 945.10; AOAC 920.49</t>
  </si>
  <si>
    <t>GIC-PR-T-14</t>
  </si>
  <si>
    <t>Cerveza; Vino; Ron; Hidromiel; Viche</t>
  </si>
  <si>
    <t>Sacarosa</t>
  </si>
  <si>
    <t>Asesoría Técnica (Hora profesional)</t>
  </si>
  <si>
    <t>No aplica</t>
  </si>
  <si>
    <t>Método en microbiología; método en Química; BPM; Inocuidad Alimentaria</t>
  </si>
  <si>
    <t>Relacionado con alimentos</t>
  </si>
  <si>
    <t>¿Cuál es el parámetro, protocolo, método de referencia y matriz de alcance del ensayo a ofertar?</t>
  </si>
  <si>
    <t>Solicitud de la Oferta y Viabilidad Técnica</t>
  </si>
  <si>
    <t>Versión: 03</t>
  </si>
  <si>
    <t>Carne Molida; Derivados Lácteos; Productos Pesca; Especias; Condimentos; Cereales</t>
  </si>
  <si>
    <t>Nombre del responsable técnico</t>
  </si>
  <si>
    <t>Sylvana Posso Hernandez</t>
  </si>
  <si>
    <t>Nathalia Coronado Rangel</t>
  </si>
  <si>
    <t>Respuesta</t>
  </si>
  <si>
    <t>Si</t>
  </si>
  <si>
    <t>No</t>
  </si>
  <si>
    <t>1. GENERALIDADES</t>
  </si>
  <si>
    <t>El formato se debe diligenciar para generar una oferta de un servicio de laboratorio. Las instrucciones del presente documento brinda orientaciones para su diligenciamiento.</t>
  </si>
  <si>
    <t>NOMBRE DE LA CASILLA</t>
  </si>
  <si>
    <t>INSTRUCCIONES</t>
  </si>
  <si>
    <t>TENER EN CUENTA</t>
  </si>
  <si>
    <t>Corresponde a la clasificación de los productos con respecto a la Resolución 1407 de 2022 – INVIMA.</t>
  </si>
  <si>
    <t>1. Derivados lácteos			
2. Helados y mezclas para helado			
3. Productos grasos			
4. Bebidas (no lácteas)			
5. Frutas, hortalizas, raíces, tubérculos y derivados			
6. Productos de confitería			
7. Cereales y productos a base de cereales			
8. Pan y productos de panadería y pastelería			
9. Productos de la pesca y derivados			
10.Huevos y productos a base de huevo procesados			
11. Azúcar, jarabe y miel			
12. Especias, aderezos, salsas y condimentos			
13. Sopas, caldos, cremas y mezclas deshidratadas			
14.Comidas preparadas / platos listos para consumo</t>
  </si>
  <si>
    <t>Número de solicitud:</t>
  </si>
  <si>
    <t>Corresponde al código asignado al servicio solicitado por el cliente.</t>
  </si>
  <si>
    <t>Corresponde al número de muestras que se van a analizar.</t>
  </si>
  <si>
    <t>Nombre de la persona que solicitó la oferta del servicio. Puede ser una persona natural, persona jurídica o funcionario de alguna entidad o empresa a la cual se le prestará el servicio.</t>
  </si>
  <si>
    <t>Identificación correspondiente a la persona que está realizando la solicitud de la empresa.</t>
  </si>
  <si>
    <t>Persona jurídica a la cual se le está prestando el servicio. No aplica para persona natural o emprendedores.</t>
  </si>
  <si>
    <t xml:space="preserve">Número de identificación tributaria de la empresa. </t>
  </si>
  <si>
    <t>Correo electrónico del solicitante del servicio.</t>
  </si>
  <si>
    <t>Teléfono celular del solicitante del servicio.</t>
  </si>
  <si>
    <t>Ciudad de residencia del solicitante.</t>
  </si>
  <si>
    <t>Lugar de residencia del solicitante del servicio.</t>
  </si>
  <si>
    <t xml:space="preserve">Fecha de solicitud: 
(aaaa/mm/dd) </t>
  </si>
  <si>
    <t>Fecha en el que se realiza el registro de la solicitud.</t>
  </si>
  <si>
    <t xml:space="preserve">Nombre del solicitante:  </t>
  </si>
  <si>
    <t xml:space="preserve">Correo electrónico: </t>
  </si>
  <si>
    <t>Responsable técnico designado:
(Nombre/cargo)</t>
  </si>
  <si>
    <t>Personal del laboratorio con rol de responsable técnico al que se le asignó la solicitud.</t>
  </si>
  <si>
    <t>Fecha límite definida por el cliente hasta la cual el producto mantiene sus condiciones de calidad e inocuidad bajo las condiciones de almacenamiento establecidas.</t>
  </si>
  <si>
    <t>Parámetro de ensayo requerido por el cliente.</t>
  </si>
  <si>
    <t>Identificación o denominación asignada por el cliente al producto muestreado.</t>
  </si>
  <si>
    <t>Material y forma del envase que contiene la muestra.</t>
  </si>
  <si>
    <t>Datos complementarios que el cliente considere importantes para el análisis, como condiciones especiales, observaciones, uso previsto del producto o requisitos específicos.</t>
  </si>
  <si>
    <t>4. VIABILIDAD TÉCNICA</t>
  </si>
  <si>
    <t>Observaciones técnicas:</t>
  </si>
  <si>
    <t>Código o identificación asignada por el cliente que permite rastrear el grupo de producción al que pertenece la muestra</t>
  </si>
  <si>
    <t>Día en que la muestra es entregada al laboratorio.</t>
  </si>
  <si>
    <t>Anotaciones realizadas por el personal técnico sobre condiciones de recepción o consideraciones relevantes que puedan influir en la ejecución y validez.</t>
  </si>
  <si>
    <t>El responsable técnico determina si el servicio es viable, no viable o viable con observaciones.</t>
  </si>
  <si>
    <t xml:space="preserve">Fecha de registro:
(aaaa/mm/dd) </t>
  </si>
  <si>
    <t>Rol del personal de laboratorio que registra la información.</t>
  </si>
  <si>
    <t>Personal técnico designado que registra el formato.</t>
  </si>
  <si>
    <t>Personal del laboratorio que cierra y firma el formato.</t>
  </si>
  <si>
    <t>Responsable Técnico que cierra y firma el formato.</t>
  </si>
  <si>
    <t>Fecha de registro y cierre del formato realizado por el responsable técnico.</t>
  </si>
  <si>
    <t>2. DATOS DEL SOLICITANTE</t>
  </si>
  <si>
    <t>Recibido por: 
(Nombre/cargo)</t>
  </si>
  <si>
    <t>Personal del laboratorio que crecibe la solicitud del servicio.</t>
  </si>
  <si>
    <t>Medio en el que se recibe la solicitud, ya sea de forma presencial o por correo electrónico.</t>
  </si>
  <si>
    <r>
      <t xml:space="preserve">Recibido por: 
</t>
    </r>
    <r>
      <rPr>
        <i/>
        <sz val="9"/>
        <color theme="1"/>
        <rFont val="Calibri"/>
        <family val="2"/>
        <scheme val="minor"/>
      </rPr>
      <t>(Nombre/cargo</t>
    </r>
    <r>
      <rPr>
        <sz val="9"/>
        <color theme="1"/>
        <rFont val="Calibri"/>
        <family val="2"/>
        <scheme val="minor"/>
      </rPr>
      <t>)</t>
    </r>
  </si>
  <si>
    <t>Corresponde a servicio de ensayo (EN), Investigación Aplicada (IA) o Asesoría Técnica o apoyo a la formación.</t>
  </si>
  <si>
    <t>Firma</t>
  </si>
  <si>
    <t>{{solicitud.solicitud_id}}</t>
  </si>
  <si>
    <t>{{solicitud.fecha_solicitud}}</t>
  </si>
  <si>
    <t>{{solicitud.recibe_personal}}</t>
  </si>
  <si>
    <t>{{solicitud.solicitud_recibida}}</t>
  </si>
  <si>
    <t>{{solicitud.tipo_muestra}}</t>
  </si>
  <si>
    <t>{{solicitud.lote_producto}}</t>
  </si>
  <si>
    <t>{{solicitud.fecha_vencimiento_muestra}}</t>
  </si>
  <si>
    <t>{{solicitud.tipo_empaque}}</t>
  </si>
  <si>
    <t>{{solicitud.cant_muestras}}</t>
  </si>
  <si>
    <t>{{solicitud.fecha_entrega_muestra}}</t>
  </si>
  <si>
    <t>{{solicitud.analisis_requerido}}</t>
  </si>
  <si>
    <t>{{solicitud.observaciones}}</t>
  </si>
  <si>
    <t>{{solicitud.cargo_personal}}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</si>
</sst>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 #,##0_-;\-&quot;$&quot;\ * #,##0_-;_-&quot;$&quot;\ * &quot;-&quot;??_-;_-@_-"/>
    <numFmt numFmtId="165" formatCode="yyyy\-mm\-dd;@"/>
  </numFmts>
  <fonts count="16" x14ac:knownFonts="1">
    <font>
      <sz val="11"/>
      <color theme="1"/>
      <name val="Calibri"/>
      <family val="2"/>
      <scheme val="minor"/>
    </font>
    <font>
      <sz val="9"/>
      <name val="Calibri"/>
      <family val="2"/>
      <scheme val="minor"/>
    </font>
    <font>
      <sz val="10"/>
      <name val="Calibri"/>
      <family val="2"/>
      <scheme val="minor"/>
    </font>
    <font>
      <b/>
      <sz val="9"/>
      <name val="Calibri"/>
      <family val="2"/>
      <scheme val="minor"/>
    </font>
    <font>
      <b/>
      <sz val="10"/>
      <color theme="1"/>
      <name val="Calibri"/>
      <family val="2"/>
      <scheme val="minor"/>
    </font>
    <font>
      <i/>
      <sz val="9"/>
      <name val="Calibri"/>
      <family val="2"/>
      <scheme val="minor"/>
    </font>
    <font>
      <sz val="11"/>
      <color theme="1"/>
      <name val="Calibri"/>
      <family val="2"/>
      <scheme val="minor"/>
    </font>
    <font>
      <b/>
      <sz val="11"/>
      <color theme="1"/>
      <name val="Calibri"/>
      <family val="2"/>
      <scheme val="minor"/>
    </font>
    <font>
      <sz val="11"/>
      <color theme="1"/>
      <name val="Calibri"/>
      <family val="2"/>
    </font>
    <font>
      <sz val="10"/>
      <name val="Calibri"/>
      <family val="2"/>
    </font>
    <font>
      <b/>
      <sz val="12"/>
      <color rgb="FF000000"/>
      <name val="Calibri"/>
      <family val="2"/>
    </font>
    <font>
      <sz val="11"/>
      <name val="Calibri"/>
      <family val="2"/>
    </font>
    <font>
      <sz val="8"/>
      <name val="Calibri"/>
      <family val="2"/>
      <scheme val="minor"/>
    </font>
    <font>
      <sz val="9"/>
      <color theme="1"/>
      <name val="Calibri"/>
      <family val="2"/>
      <scheme val="minor"/>
    </font>
    <font>
      <i/>
      <sz val="9"/>
      <color theme="1"/>
      <name val="Calibri"/>
      <family val="2"/>
      <scheme val="minor"/>
    </font>
    <font>
      <i/>
      <u/>
      <sz val="14"/>
      <color theme="0" tint="-0.14999847407452621"/>
      <name val="Calibri"/>
      <family val="2"/>
      <scheme val="minor"/>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theme="0" tint="-0.14999847407452621"/>
        <bgColor rgb="FF000000"/>
      </patternFill>
    </fill>
    <fill>
      <patternFill patternType="solid">
        <fgColor theme="0"/>
        <bgColor rgb="FF000000"/>
      </patternFill>
    </fill>
    <fill>
      <patternFill patternType="gray0625">
        <bgColor indexed="9"/>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s>
  <cellStyleXfs count="2">
    <xf numFmtId="0" fontId="0" fillId="0" borderId="0"/>
    <xf numFmtId="44" fontId="6" fillId="0" borderId="0" applyFont="0" applyFill="0" applyBorder="0" applyAlignment="0" applyProtection="0"/>
  </cellStyleXfs>
  <cellXfs count="165">
    <xf numFmtId="0" fontId="0" fillId="0" borderId="0" xfId="0"/>
    <xf numFmtId="0" fontId="1" fillId="2" borderId="0" xfId="0" applyFont="1" applyFill="1"/>
    <xf numFmtId="0" fontId="1" fillId="2" borderId="0" xfId="0" applyFont="1" applyFill="1" applyAlignment="1">
      <alignment vertical="center"/>
    </xf>
    <xf numFmtId="0" fontId="3" fillId="2" borderId="0" xfId="0" applyFont="1" applyFill="1" applyAlignment="1">
      <alignment vertical="center"/>
    </xf>
    <xf numFmtId="0" fontId="1" fillId="2" borderId="0" xfId="0" applyFont="1" applyFill="1" applyAlignment="1">
      <alignment horizontal="left"/>
    </xf>
    <xf numFmtId="0" fontId="1" fillId="2" borderId="6" xfId="0" applyFont="1" applyFill="1" applyBorder="1" applyAlignment="1">
      <alignment vertical="center" wrapText="1"/>
    </xf>
    <xf numFmtId="0" fontId="1" fillId="2" borderId="6" xfId="0" applyFont="1" applyFill="1" applyBorder="1" applyAlignment="1">
      <alignment vertical="center"/>
    </xf>
    <xf numFmtId="0" fontId="1" fillId="2" borderId="2" xfId="0" applyFont="1" applyFill="1" applyBorder="1" applyAlignment="1">
      <alignment vertical="center"/>
    </xf>
    <xf numFmtId="0" fontId="1" fillId="3" borderId="6" xfId="0" applyFont="1" applyFill="1" applyBorder="1" applyAlignment="1">
      <alignment vertical="center" wrapText="1"/>
    </xf>
    <xf numFmtId="0" fontId="1" fillId="3" borderId="6" xfId="0" applyFont="1" applyFill="1" applyBorder="1" applyAlignment="1">
      <alignment vertical="center"/>
    </xf>
    <xf numFmtId="0" fontId="1" fillId="3" borderId="2" xfId="0" applyFont="1" applyFill="1" applyBorder="1" applyAlignment="1">
      <alignment vertical="center" wrapText="1"/>
    </xf>
    <xf numFmtId="0" fontId="1" fillId="3" borderId="2" xfId="0" applyFont="1" applyFill="1" applyBorder="1" applyAlignment="1">
      <alignment vertical="center"/>
    </xf>
    <xf numFmtId="0" fontId="3" fillId="2" borderId="1" xfId="0" applyFont="1" applyFill="1" applyBorder="1" applyAlignment="1">
      <alignment horizontal="center" vertical="center" wrapText="1"/>
    </xf>
    <xf numFmtId="0" fontId="1" fillId="2" borderId="4" xfId="0" applyFont="1" applyFill="1" applyBorder="1" applyAlignment="1">
      <alignment vertical="center" wrapText="1"/>
    </xf>
    <xf numFmtId="0" fontId="1" fillId="2" borderId="17" xfId="0" applyFont="1" applyFill="1" applyBorder="1" applyAlignment="1">
      <alignment vertical="center" wrapText="1"/>
    </xf>
    <xf numFmtId="0" fontId="0" fillId="3" borderId="11" xfId="0" applyFill="1" applyBorder="1" applyAlignment="1">
      <alignment vertical="center" wrapText="1"/>
    </xf>
    <xf numFmtId="0" fontId="0" fillId="3" borderId="1" xfId="0" applyFill="1" applyBorder="1" applyAlignment="1">
      <alignment vertical="center" wrapText="1"/>
    </xf>
    <xf numFmtId="164" fontId="0" fillId="3" borderId="1" xfId="1" applyNumberFormat="1" applyFont="1" applyFill="1" applyBorder="1" applyAlignment="1">
      <alignment vertical="center" wrapText="1"/>
    </xf>
    <xf numFmtId="0" fontId="0" fillId="3" borderId="10" xfId="0" applyFill="1" applyBorder="1" applyAlignment="1">
      <alignment vertical="center" wrapText="1"/>
    </xf>
    <xf numFmtId="0" fontId="0" fillId="3" borderId="13" xfId="0" applyFill="1" applyBorder="1" applyAlignment="1">
      <alignment vertical="center" wrapText="1"/>
    </xf>
    <xf numFmtId="0" fontId="0" fillId="3" borderId="14" xfId="0" applyFill="1" applyBorder="1" applyAlignment="1">
      <alignment vertical="center" wrapText="1"/>
    </xf>
    <xf numFmtId="0" fontId="0" fillId="3" borderId="2" xfId="0" applyFill="1" applyBorder="1" applyAlignment="1">
      <alignment vertical="center" wrapText="1"/>
    </xf>
    <xf numFmtId="164" fontId="0" fillId="3" borderId="14" xfId="1" applyNumberFormat="1" applyFont="1" applyFill="1" applyBorder="1" applyAlignment="1">
      <alignment vertical="center" wrapText="1"/>
    </xf>
    <xf numFmtId="0" fontId="0" fillId="0" borderId="0" xfId="0"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7" fillId="0" borderId="6" xfId="0" applyFont="1" applyBorder="1" applyAlignment="1">
      <alignment vertical="center" wrapText="1"/>
    </xf>
    <xf numFmtId="0" fontId="1" fillId="2" borderId="19" xfId="0" applyFont="1" applyFill="1" applyBorder="1" applyAlignment="1">
      <alignment horizontal="left" vertical="center" wrapText="1"/>
    </xf>
    <xf numFmtId="0" fontId="2" fillId="3" borderId="15"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6" xfId="0" applyFont="1" applyFill="1" applyBorder="1" applyAlignment="1">
      <alignment horizontal="center" vertical="center"/>
    </xf>
    <xf numFmtId="0" fontId="10" fillId="5" borderId="31" xfId="0" applyFont="1" applyFill="1" applyBorder="1" applyAlignment="1">
      <alignment vertical="center" wrapText="1"/>
    </xf>
    <xf numFmtId="0" fontId="10" fillId="5" borderId="12" xfId="0" applyFont="1" applyFill="1" applyBorder="1" applyAlignment="1">
      <alignment vertical="center" wrapText="1"/>
    </xf>
    <xf numFmtId="0" fontId="1" fillId="2" borderId="5" xfId="0" applyFont="1" applyFill="1" applyBorder="1" applyAlignment="1">
      <alignment horizontal="left" vertical="center" wrapText="1"/>
    </xf>
    <xf numFmtId="0" fontId="13" fillId="2" borderId="4" xfId="0" applyFont="1" applyFill="1" applyBorder="1" applyAlignment="1">
      <alignment vertical="center" wrapText="1"/>
    </xf>
    <xf numFmtId="0" fontId="13" fillId="2" borderId="4" xfId="0" applyFont="1" applyFill="1" applyBorder="1" applyAlignment="1">
      <alignment horizontal="left" vertical="center" wrapText="1"/>
    </xf>
    <xf numFmtId="0" fontId="3" fillId="3" borderId="8"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 fillId="2" borderId="19" xfId="0" applyFont="1" applyFill="1" applyBorder="1" applyAlignment="1">
      <alignment horizontal="left" wrapText="1"/>
    </xf>
    <xf numFmtId="0" fontId="1" fillId="3" borderId="8"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4" fillId="3" borderId="26" xfId="0" applyFont="1" applyFill="1" applyBorder="1" applyAlignment="1">
      <alignment vertical="center" wrapText="1"/>
    </xf>
    <xf numFmtId="0" fontId="2" fillId="3" borderId="28" xfId="0" applyFont="1" applyFill="1" applyBorder="1" applyAlignment="1">
      <alignment vertical="center" wrapText="1"/>
    </xf>
    <xf numFmtId="0" fontId="4" fillId="3" borderId="30" xfId="0" applyFont="1" applyFill="1" applyBorder="1" applyAlignment="1">
      <alignment vertical="center" wrapText="1"/>
    </xf>
    <xf numFmtId="0" fontId="1" fillId="2" borderId="34" xfId="0" applyFont="1" applyFill="1" applyBorder="1" applyAlignment="1">
      <alignment horizontal="left" vertical="center" wrapText="1"/>
    </xf>
    <xf numFmtId="0" fontId="1" fillId="2" borderId="35" xfId="0" applyFont="1" applyFill="1" applyBorder="1" applyAlignment="1">
      <alignment horizontal="left" vertical="center" wrapText="1"/>
    </xf>
    <xf numFmtId="0" fontId="1" fillId="2" borderId="36" xfId="0" applyFont="1" applyFill="1" applyBorder="1" applyAlignment="1">
      <alignment vertical="center" wrapText="1"/>
    </xf>
    <xf numFmtId="0" fontId="1" fillId="2" borderId="37" xfId="0" applyFont="1" applyFill="1" applyBorder="1" applyAlignment="1">
      <alignment horizontal="left" vertical="center" wrapText="1"/>
    </xf>
    <xf numFmtId="0" fontId="1" fillId="2" borderId="36" xfId="0" applyFont="1" applyFill="1" applyBorder="1" applyAlignment="1">
      <alignment vertical="center"/>
    </xf>
    <xf numFmtId="0" fontId="1" fillId="2" borderId="38" xfId="0" applyFont="1" applyFill="1" applyBorder="1" applyAlignment="1">
      <alignment horizontal="left" vertical="center" wrapText="1"/>
    </xf>
    <xf numFmtId="0" fontId="1" fillId="3" borderId="36" xfId="0" applyFont="1" applyFill="1" applyBorder="1" applyAlignment="1">
      <alignment vertical="center" wrapText="1"/>
    </xf>
    <xf numFmtId="0" fontId="3" fillId="3" borderId="37" xfId="0" applyFont="1" applyFill="1" applyBorder="1" applyAlignment="1">
      <alignment horizontal="left" vertical="center" wrapText="1"/>
    </xf>
    <xf numFmtId="0" fontId="1" fillId="3" borderId="39" xfId="0" applyFont="1" applyFill="1" applyBorder="1" applyAlignment="1">
      <alignment vertical="center" wrapText="1"/>
    </xf>
    <xf numFmtId="0" fontId="1" fillId="3" borderId="38" xfId="0" applyFont="1" applyFill="1" applyBorder="1" applyAlignment="1">
      <alignment horizontal="left" vertical="center" wrapText="1"/>
    </xf>
    <xf numFmtId="0" fontId="1" fillId="2" borderId="40" xfId="0" applyFont="1" applyFill="1" applyBorder="1" applyAlignment="1">
      <alignment vertical="center" wrapText="1"/>
    </xf>
    <xf numFmtId="0" fontId="1" fillId="2" borderId="41" xfId="0" applyFont="1" applyFill="1" applyBorder="1" applyAlignment="1">
      <alignment horizontal="left" vertical="center" wrapText="1"/>
    </xf>
    <xf numFmtId="0" fontId="1" fillId="3" borderId="38" xfId="0" applyFont="1" applyFill="1" applyBorder="1" applyAlignment="1">
      <alignment horizontal="left" vertical="center"/>
    </xf>
    <xf numFmtId="0" fontId="3" fillId="2" borderId="43" xfId="0" applyFont="1" applyFill="1" applyBorder="1" applyAlignment="1">
      <alignment horizontal="center" vertical="center" wrapText="1"/>
    </xf>
    <xf numFmtId="0" fontId="1" fillId="2" borderId="43" xfId="0" applyFont="1" applyFill="1" applyBorder="1" applyAlignment="1">
      <alignment horizontal="center" vertical="center"/>
    </xf>
    <xf numFmtId="0" fontId="1" fillId="2" borderId="43"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30"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1" xfId="0" applyFont="1" applyFill="1" applyBorder="1" applyAlignment="1">
      <alignment horizontal="center" vertical="center"/>
    </xf>
    <xf numFmtId="0" fontId="1" fillId="2" borderId="34" xfId="0" applyFont="1" applyFill="1" applyBorder="1" applyAlignment="1">
      <alignment horizontal="left" vertical="center" wrapText="1"/>
    </xf>
    <xf numFmtId="0" fontId="1" fillId="2" borderId="44" xfId="0" applyFont="1" applyFill="1" applyBorder="1" applyAlignment="1">
      <alignment horizontal="left" vertical="center" wrapText="1"/>
    </xf>
    <xf numFmtId="0" fontId="1" fillId="2" borderId="0" xfId="0" applyFont="1" applyFill="1" applyAlignment="1">
      <alignment horizontal="center" vertical="center" wrapText="1"/>
    </xf>
    <xf numFmtId="0" fontId="1" fillId="2" borderId="2"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3" fillId="4" borderId="32" xfId="0" applyFont="1" applyFill="1" applyBorder="1" applyAlignment="1">
      <alignment horizontal="center" vertical="center" wrapText="1"/>
    </xf>
    <xf numFmtId="0" fontId="3" fillId="4" borderId="9"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33" xfId="0" applyFont="1" applyFill="1" applyBorder="1" applyAlignment="1">
      <alignment horizontal="center" vertical="center"/>
    </xf>
    <xf numFmtId="0" fontId="1" fillId="2" borderId="40"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165" fontId="1" fillId="2" borderId="38" xfId="0" applyNumberFormat="1" applyFont="1" applyFill="1" applyBorder="1" applyAlignment="1">
      <alignment horizontal="center" vertical="center" wrapText="1"/>
    </xf>
    <xf numFmtId="165" fontId="1" fillId="2" borderId="49"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9" borderId="47" xfId="0" applyFont="1" applyFill="1" applyBorder="1" applyAlignment="1">
      <alignment horizontal="center" vertical="center" wrapText="1"/>
    </xf>
    <xf numFmtId="0" fontId="15" fillId="9" borderId="48" xfId="0" applyFont="1" applyFill="1" applyBorder="1" applyAlignment="1">
      <alignment horizontal="center" vertical="center" wrapText="1"/>
    </xf>
    <xf numFmtId="0" fontId="1" fillId="2" borderId="45" xfId="0" applyFont="1" applyFill="1" applyBorder="1" applyAlignment="1">
      <alignment horizontal="center" vertical="center"/>
    </xf>
    <xf numFmtId="0" fontId="1" fillId="2" borderId="45"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15" fillId="9" borderId="21" xfId="0" applyFont="1" applyFill="1" applyBorder="1" applyAlignment="1">
      <alignment horizontal="center" vertical="center" wrapText="1"/>
    </xf>
    <xf numFmtId="0" fontId="15" fillId="9" borderId="20" xfId="0" applyFont="1" applyFill="1" applyBorder="1" applyAlignment="1">
      <alignment horizontal="center" vertical="center" wrapText="1"/>
    </xf>
    <xf numFmtId="0" fontId="3" fillId="2" borderId="43" xfId="0" applyFont="1" applyFill="1" applyBorder="1" applyAlignment="1">
      <alignment horizontal="center" vertical="center"/>
    </xf>
    <xf numFmtId="0" fontId="1" fillId="2" borderId="42" xfId="0" applyFont="1" applyFill="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3" fillId="2" borderId="29"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3" fillId="4" borderId="3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 fillId="2" borderId="22" xfId="0" applyFont="1" applyFill="1" applyBorder="1" applyAlignment="1">
      <alignment horizontal="center"/>
    </xf>
    <xf numFmtId="0" fontId="2" fillId="2" borderId="27" xfId="0" applyFont="1" applyFill="1" applyBorder="1" applyAlignment="1">
      <alignment horizontal="center"/>
    </xf>
    <xf numFmtId="0" fontId="2" fillId="2" borderId="29" xfId="0" applyFont="1" applyFill="1" applyBorder="1" applyAlignment="1">
      <alignment horizontal="center"/>
    </xf>
    <xf numFmtId="0" fontId="8" fillId="5" borderId="1" xfId="0" applyFont="1" applyFill="1" applyBorder="1" applyAlignment="1">
      <alignment horizontal="left" vertical="center" wrapText="1"/>
    </xf>
    <xf numFmtId="0" fontId="8" fillId="6" borderId="4" xfId="0" applyFont="1" applyFill="1" applyBorder="1" applyAlignment="1">
      <alignment horizontal="center" vertical="center"/>
    </xf>
    <xf numFmtId="0" fontId="8" fillId="6" borderId="0" xfId="0" applyFont="1" applyFill="1" applyAlignment="1">
      <alignment horizontal="center" vertical="center"/>
    </xf>
    <xf numFmtId="0" fontId="9" fillId="5" borderId="22" xfId="0" applyFont="1" applyFill="1" applyBorder="1" applyAlignment="1">
      <alignment horizontal="center"/>
    </xf>
    <xf numFmtId="0" fontId="9" fillId="5" borderId="27" xfId="0" applyFont="1" applyFill="1" applyBorder="1" applyAlignment="1">
      <alignment horizontal="center"/>
    </xf>
    <xf numFmtId="0" fontId="9" fillId="5" borderId="29" xfId="0" applyFont="1" applyFill="1" applyBorder="1" applyAlignment="1">
      <alignment horizontal="center"/>
    </xf>
    <xf numFmtId="0" fontId="10" fillId="5" borderId="23" xfId="0" applyFont="1" applyFill="1" applyBorder="1" applyAlignment="1">
      <alignment horizontal="center" vertical="center" wrapText="1"/>
    </xf>
    <xf numFmtId="0" fontId="10" fillId="5" borderId="24" xfId="0" applyFont="1" applyFill="1" applyBorder="1" applyAlignment="1">
      <alignment horizontal="center" vertical="center" wrapText="1"/>
    </xf>
    <xf numFmtId="0" fontId="10" fillId="5" borderId="25"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5" borderId="1" xfId="0" applyFont="1" applyFill="1" applyBorder="1" applyAlignment="1">
      <alignment horizontal="center" vertical="center"/>
    </xf>
    <xf numFmtId="0" fontId="8" fillId="8" borderId="14" xfId="0" applyFont="1" applyFill="1" applyBorder="1" applyAlignment="1">
      <alignment horizontal="left" vertical="center"/>
    </xf>
    <xf numFmtId="0" fontId="8" fillId="5" borderId="14" xfId="0" applyFont="1" applyFill="1" applyBorder="1" applyAlignment="1">
      <alignment horizontal="left" vertical="center" wrapText="1"/>
    </xf>
    <xf numFmtId="0" fontId="11" fillId="8" borderId="10" xfId="0" applyFont="1" applyFill="1" applyBorder="1" applyAlignment="1">
      <alignment horizontal="left" vertical="center" wrapText="1"/>
    </xf>
    <xf numFmtId="0" fontId="11" fillId="8" borderId="11" xfId="0" applyFont="1" applyFill="1" applyBorder="1" applyAlignment="1">
      <alignment horizontal="left" vertical="center" wrapText="1"/>
    </xf>
    <xf numFmtId="0" fontId="8" fillId="5" borderId="10" xfId="0" applyFont="1" applyFill="1" applyBorder="1" applyAlignment="1">
      <alignment horizontal="left" vertical="center"/>
    </xf>
    <xf numFmtId="0" fontId="8" fillId="5" borderId="9" xfId="0" applyFont="1" applyFill="1" applyBorder="1" applyAlignment="1">
      <alignment horizontal="left" vertical="center"/>
    </xf>
    <xf numFmtId="0" fontId="8" fillId="5" borderId="11" xfId="0" applyFont="1" applyFill="1" applyBorder="1" applyAlignment="1">
      <alignment horizontal="left" vertical="center"/>
    </xf>
    <xf numFmtId="0" fontId="11" fillId="8" borderId="10" xfId="0" applyFont="1" applyFill="1" applyBorder="1" applyAlignment="1">
      <alignment horizontal="left" vertical="center"/>
    </xf>
    <xf numFmtId="0" fontId="11" fillId="8" borderId="11" xfId="0" applyFont="1" applyFill="1" applyBorder="1" applyAlignment="1">
      <alignment horizontal="left" vertical="center"/>
    </xf>
    <xf numFmtId="0" fontId="8" fillId="5" borderId="10" xfId="0" applyFont="1" applyFill="1" applyBorder="1" applyAlignment="1">
      <alignment horizontal="left" vertical="center" wrapText="1"/>
    </xf>
    <xf numFmtId="0" fontId="8" fillId="5" borderId="9"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8" borderId="1" xfId="0" applyFont="1" applyFill="1" applyBorder="1" applyAlignment="1">
      <alignment horizontal="left" vertical="center"/>
    </xf>
    <xf numFmtId="0" fontId="8" fillId="0" borderId="10"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11" fillId="8" borderId="1" xfId="0" applyFont="1" applyFill="1" applyBorder="1" applyAlignment="1">
      <alignment horizontal="left" vertical="center"/>
    </xf>
    <xf numFmtId="0" fontId="8" fillId="0" borderId="1" xfId="0" applyFont="1" applyBorder="1" applyAlignment="1">
      <alignment horizontal="left" vertical="center"/>
    </xf>
    <xf numFmtId="0" fontId="8" fillId="0" borderId="10" xfId="0" applyFont="1" applyBorder="1" applyAlignment="1">
      <alignment horizontal="left" vertical="center"/>
    </xf>
    <xf numFmtId="0" fontId="8" fillId="0" borderId="9" xfId="0" applyFont="1" applyBorder="1" applyAlignment="1">
      <alignment horizontal="left" vertical="center"/>
    </xf>
    <xf numFmtId="0" fontId="8" fillId="0" borderId="11" xfId="0" applyFont="1" applyBorder="1" applyAlignment="1">
      <alignment horizontal="left" vertical="center"/>
    </xf>
    <xf numFmtId="0" fontId="8" fillId="0" borderId="1" xfId="0" applyFont="1" applyBorder="1" applyAlignment="1">
      <alignment horizontal="left" vertical="center" wrapText="1"/>
    </xf>
    <xf numFmtId="0" fontId="8" fillId="5" borderId="10" xfId="0" applyFont="1" applyFill="1" applyBorder="1" applyAlignment="1">
      <alignment horizontal="center" vertical="center" wrapText="1"/>
    </xf>
    <xf numFmtId="0" fontId="8" fillId="5" borderId="9" xfId="0" applyFont="1" applyFill="1" applyBorder="1" applyAlignment="1">
      <alignment horizontal="center" vertical="center"/>
    </xf>
    <xf numFmtId="0" fontId="8" fillId="5" borderId="1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0" xfId="0" applyFont="1" applyFill="1" applyBorder="1" applyAlignment="1">
      <alignment horizontal="left" vertical="center" wrapText="1"/>
    </xf>
    <xf numFmtId="0" fontId="8" fillId="8" borderId="11" xfId="0" applyFont="1" applyFill="1" applyBorder="1" applyAlignment="1">
      <alignment horizontal="left" vertical="center"/>
    </xf>
    <xf numFmtId="0" fontId="8" fillId="8" borderId="10" xfId="0" applyFont="1" applyFill="1" applyBorder="1" applyAlignment="1">
      <alignment horizontal="left" vertical="center"/>
    </xf>
  </cellXfs>
  <cellStyles count="2">
    <cellStyle name="Moneda" xfId="1" builtinId="4"/>
    <cellStyle name="Normal" xfId="0" builtinId="0"/>
  </cellStyles>
  <dxfs count="21">
    <dxf>
      <fill>
        <patternFill patternType="lightUp"/>
      </fill>
    </dxf>
    <dxf>
      <font>
        <color theme="0" tint="-0.14996795556505021"/>
      </font>
      <fill>
        <patternFill patternType="lightUp"/>
      </fill>
    </dxf>
    <dxf>
      <fill>
        <patternFill patternType="lightUp"/>
      </fill>
    </dxf>
    <dxf>
      <fill>
        <patternFill patternType="lightUp"/>
      </fill>
    </dxf>
    <dxf>
      <fill>
        <patternFill patternType="lightUp"/>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_-&quot;$&quot;\ * #,##0_-;\-&quot;$&quot;\ * #,##0_-;_-&quot;$&quot;\ * &quot;-&quot;??_-;_-@_-"/>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0</xdr:colOff>
      <xdr:row>4</xdr:row>
      <xdr:rowOff>58046</xdr:rowOff>
    </xdr:to>
    <xdr:pic>
      <xdr:nvPicPr>
        <xdr:cNvPr id="2" name="1 Imagen">
          <a:extLst>
            <a:ext uri="{FF2B5EF4-FFF2-40B4-BE49-F238E27FC236}">
              <a16:creationId xmlns:a16="http://schemas.microsoft.com/office/drawing/2014/main" id="{2C5AF2FB-20B4-4B65-AB5A-5B5BC02F9D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7600" y="0"/>
          <a:ext cx="0" cy="9724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A515C-9AD0-4D23-867A-C259650CEBB7}" name="Tabla1" displayName="Tabla1" ref="A1:G23" totalsRowShown="0" headerRowDxfId="20" dataDxfId="18" headerRowBorderDxfId="19" tableBorderDxfId="17" totalsRowBorderDxfId="16">
  <autoFilter ref="A1:G23" xr:uid="{509A515C-9AD0-4D23-867A-C259650CEBB7}"/>
  <sortState xmlns:xlrd2="http://schemas.microsoft.com/office/spreadsheetml/2017/richdata2" ref="A2:G22">
    <sortCondition ref="A3:A22"/>
  </sortState>
  <tableColumns count="7">
    <tableColumn id="1" xr3:uid="{B5BB7481-B880-4D24-A7EA-6AC13AAE4904}" name="Parámetro" dataDxfId="15"/>
    <tableColumn id="2" xr3:uid="{506060A6-1603-4A37-95DB-56408E283ED8}" name="Técnica" dataDxfId="14"/>
    <tableColumn id="3" xr3:uid="{229A4592-B955-40CE-A02C-A87957224BFF}" name="Unidad" dataDxfId="13"/>
    <tableColumn id="4" xr3:uid="{BA19344E-644C-47AB-9792-F4F0306357DE}" name="Método de referencia" dataDxfId="12"/>
    <tableColumn id="7" xr3:uid="{20E03684-5E62-424F-8389-B7FA61E9954B}" name="Precio" dataDxfId="11" dataCellStyle="Moneda"/>
    <tableColumn id="5" xr3:uid="{04C16E23-17A6-47FD-9203-A3983CB077AF}" name="Protocolo" dataDxfId="10"/>
    <tableColumn id="6" xr3:uid="{8938A555-79C2-49E9-8114-F7C8B1DC4DA1}" name="Matriz"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3D4452-2A2B-4CCE-A48F-92835B281846}" name="Tabla2" displayName="Tabla2" ref="I1:I3" totalsRowShown="0" headerRowDxfId="8">
  <autoFilter ref="I1:I3" xr:uid="{733D4452-2A2B-4CCE-A48F-92835B281846}"/>
  <tableColumns count="1">
    <tableColumn id="1" xr3:uid="{CD8D00B7-2451-4711-B1F5-534A02621A72}" name="Nombre del responsable técnic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944CD8-D35C-4BD8-9F07-3BED13119F36}" name="Tabla4" displayName="Tabla4" ref="K1:K3" totalsRowShown="0" headerRowDxfId="7" dataDxfId="6">
  <autoFilter ref="K1:K3" xr:uid="{9C944CD8-D35C-4BD8-9F07-3BED13119F36}"/>
  <tableColumns count="1">
    <tableColumn id="1" xr3:uid="{E4B54C0D-3E53-4534-96EC-7DD634DE9470}" name="Respuesta" dataDxfId="5"/>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5609-9F3D-471C-A7F7-2C0AC921A414}">
  <dimension ref="A1:K51"/>
  <sheetViews>
    <sheetView workbookViewId="0">
      <selection activeCell="B23" sqref="B23"/>
    </sheetView>
  </sheetViews>
  <sheetFormatPr baseColWidth="10" defaultRowHeight="14.5" x14ac:dyDescent="0.35"/>
  <cols>
    <col min="1" max="1" width="22" customWidth="1"/>
    <col min="2" max="2" width="25.36328125" customWidth="1"/>
    <col min="3" max="3" width="14" customWidth="1"/>
    <col min="4" max="4" width="44.7265625" customWidth="1"/>
    <col min="5" max="5" width="13.7265625" customWidth="1"/>
    <col min="6" max="6" width="17.7265625" customWidth="1"/>
    <col min="7" max="7" width="82.54296875" customWidth="1"/>
    <col min="8" max="8" width="7.6328125" customWidth="1"/>
    <col min="9" max="9" width="31.90625" customWidth="1"/>
    <col min="10" max="10" width="6.6328125" customWidth="1"/>
    <col min="11" max="11" width="24" customWidth="1"/>
  </cols>
  <sheetData>
    <row r="1" spans="1:11" x14ac:dyDescent="0.35">
      <c r="A1" s="24" t="s">
        <v>55</v>
      </c>
      <c r="B1" s="25" t="s">
        <v>56</v>
      </c>
      <c r="C1" s="25" t="s">
        <v>57</v>
      </c>
      <c r="D1" s="25" t="s">
        <v>58</v>
      </c>
      <c r="E1" s="25" t="s">
        <v>59</v>
      </c>
      <c r="F1" s="25" t="s">
        <v>60</v>
      </c>
      <c r="G1" s="26" t="s">
        <v>61</v>
      </c>
      <c r="I1" s="23" t="s">
        <v>147</v>
      </c>
      <c r="K1" s="30" t="s">
        <v>150</v>
      </c>
    </row>
    <row r="2" spans="1:11" x14ac:dyDescent="0.35">
      <c r="A2" s="15" t="s">
        <v>140</v>
      </c>
      <c r="B2" s="15" t="s">
        <v>140</v>
      </c>
      <c r="C2" s="15" t="s">
        <v>140</v>
      </c>
      <c r="D2" s="15" t="s">
        <v>140</v>
      </c>
      <c r="E2" s="15" t="s">
        <v>140</v>
      </c>
      <c r="F2" s="15" t="s">
        <v>140</v>
      </c>
      <c r="G2" s="15" t="s">
        <v>140</v>
      </c>
      <c r="I2" t="s">
        <v>148</v>
      </c>
      <c r="K2" s="30" t="s">
        <v>151</v>
      </c>
    </row>
    <row r="3" spans="1:11" x14ac:dyDescent="0.35">
      <c r="A3" s="15" t="s">
        <v>62</v>
      </c>
      <c r="B3" s="16" t="s">
        <v>63</v>
      </c>
      <c r="C3" s="16" t="s">
        <v>64</v>
      </c>
      <c r="D3" s="16" t="s">
        <v>65</v>
      </c>
      <c r="E3" s="17">
        <v>43000</v>
      </c>
      <c r="F3" s="16" t="s">
        <v>66</v>
      </c>
      <c r="G3" s="18" t="s">
        <v>67</v>
      </c>
      <c r="I3" t="s">
        <v>149</v>
      </c>
      <c r="K3" s="30" t="s">
        <v>152</v>
      </c>
    </row>
    <row r="4" spans="1:11" ht="29" x14ac:dyDescent="0.35">
      <c r="A4" s="15" t="s">
        <v>68</v>
      </c>
      <c r="B4" s="16" t="s">
        <v>69</v>
      </c>
      <c r="C4" s="16" t="s">
        <v>70</v>
      </c>
      <c r="D4" s="16" t="s">
        <v>71</v>
      </c>
      <c r="E4" s="17">
        <v>455000</v>
      </c>
      <c r="F4" s="16" t="s">
        <v>72</v>
      </c>
      <c r="G4" s="18" t="s">
        <v>73</v>
      </c>
    </row>
    <row r="5" spans="1:11" x14ac:dyDescent="0.35">
      <c r="A5" s="15" t="s">
        <v>74</v>
      </c>
      <c r="B5" s="16" t="s">
        <v>75</v>
      </c>
      <c r="C5" s="16" t="s">
        <v>76</v>
      </c>
      <c r="D5" s="16" t="s">
        <v>77</v>
      </c>
      <c r="E5" s="17">
        <v>104000</v>
      </c>
      <c r="F5" s="16" t="s">
        <v>78</v>
      </c>
      <c r="G5" s="18" t="s">
        <v>79</v>
      </c>
    </row>
    <row r="6" spans="1:11" x14ac:dyDescent="0.35">
      <c r="A6" s="15" t="s">
        <v>80</v>
      </c>
      <c r="B6" s="16" t="s">
        <v>81</v>
      </c>
      <c r="C6" s="16" t="s">
        <v>82</v>
      </c>
      <c r="D6" s="16" t="s">
        <v>83</v>
      </c>
      <c r="E6" s="17">
        <v>49000</v>
      </c>
      <c r="F6" s="16" t="s">
        <v>84</v>
      </c>
      <c r="G6" s="18" t="s">
        <v>85</v>
      </c>
    </row>
    <row r="7" spans="1:11" x14ac:dyDescent="0.35">
      <c r="A7" s="15" t="s">
        <v>86</v>
      </c>
      <c r="B7" s="16" t="s">
        <v>75</v>
      </c>
      <c r="C7" s="16" t="s">
        <v>76</v>
      </c>
      <c r="D7" s="16" t="s">
        <v>87</v>
      </c>
      <c r="E7" s="17">
        <v>39000</v>
      </c>
      <c r="F7" s="16" t="s">
        <v>88</v>
      </c>
      <c r="G7" s="18" t="s">
        <v>89</v>
      </c>
    </row>
    <row r="8" spans="1:11" x14ac:dyDescent="0.35">
      <c r="A8" s="15" t="s">
        <v>90</v>
      </c>
      <c r="B8" s="16" t="s">
        <v>91</v>
      </c>
      <c r="C8" s="16" t="s">
        <v>92</v>
      </c>
      <c r="D8" s="16" t="s">
        <v>93</v>
      </c>
      <c r="E8" s="17">
        <v>47000</v>
      </c>
      <c r="F8" s="16" t="s">
        <v>94</v>
      </c>
      <c r="G8" s="18" t="s">
        <v>95</v>
      </c>
    </row>
    <row r="9" spans="1:11" x14ac:dyDescent="0.35">
      <c r="A9" s="15" t="s">
        <v>96</v>
      </c>
      <c r="B9" s="16" t="s">
        <v>75</v>
      </c>
      <c r="C9" s="16" t="s">
        <v>76</v>
      </c>
      <c r="D9" s="16" t="s">
        <v>97</v>
      </c>
      <c r="E9" s="17">
        <v>44000</v>
      </c>
      <c r="F9" s="16" t="s">
        <v>88</v>
      </c>
      <c r="G9" s="18" t="s">
        <v>146</v>
      </c>
    </row>
    <row r="10" spans="1:11" x14ac:dyDescent="0.35">
      <c r="A10" s="15" t="s">
        <v>98</v>
      </c>
      <c r="B10" s="16" t="s">
        <v>69</v>
      </c>
      <c r="C10" s="16" t="s">
        <v>70</v>
      </c>
      <c r="D10" s="16" t="s">
        <v>99</v>
      </c>
      <c r="E10" s="17">
        <v>675000</v>
      </c>
      <c r="F10" s="16" t="s">
        <v>100</v>
      </c>
      <c r="G10" s="18" t="s">
        <v>101</v>
      </c>
    </row>
    <row r="11" spans="1:11" ht="29" x14ac:dyDescent="0.35">
      <c r="A11" s="15" t="s">
        <v>102</v>
      </c>
      <c r="B11" s="16" t="s">
        <v>69</v>
      </c>
      <c r="C11" s="16" t="s">
        <v>70</v>
      </c>
      <c r="D11" s="16" t="s">
        <v>99</v>
      </c>
      <c r="E11" s="17">
        <v>675000</v>
      </c>
      <c r="F11" s="16" t="s">
        <v>100</v>
      </c>
      <c r="G11" s="18" t="s">
        <v>101</v>
      </c>
    </row>
    <row r="12" spans="1:11" x14ac:dyDescent="0.35">
      <c r="A12" s="15" t="s">
        <v>103</v>
      </c>
      <c r="B12" s="16" t="s">
        <v>69</v>
      </c>
      <c r="C12" s="16" t="s">
        <v>70</v>
      </c>
      <c r="D12" s="16" t="s">
        <v>99</v>
      </c>
      <c r="E12" s="17">
        <v>675000</v>
      </c>
      <c r="F12" s="16" t="s">
        <v>100</v>
      </c>
      <c r="G12" s="18" t="s">
        <v>101</v>
      </c>
    </row>
    <row r="13" spans="1:11" ht="29" x14ac:dyDescent="0.35">
      <c r="A13" s="15" t="s">
        <v>104</v>
      </c>
      <c r="B13" s="16" t="s">
        <v>105</v>
      </c>
      <c r="C13" s="16" t="s">
        <v>82</v>
      </c>
      <c r="D13" s="16" t="s">
        <v>106</v>
      </c>
      <c r="E13" s="17">
        <v>41000</v>
      </c>
      <c r="F13" s="16" t="s">
        <v>107</v>
      </c>
      <c r="G13" s="18" t="s">
        <v>108</v>
      </c>
    </row>
    <row r="14" spans="1:11" ht="29" x14ac:dyDescent="0.35">
      <c r="A14" s="15" t="s">
        <v>109</v>
      </c>
      <c r="B14" s="16" t="s">
        <v>105</v>
      </c>
      <c r="C14" s="16" t="s">
        <v>82</v>
      </c>
      <c r="D14" s="16" t="s">
        <v>106</v>
      </c>
      <c r="E14" s="17">
        <v>41000</v>
      </c>
      <c r="F14" s="16" t="s">
        <v>110</v>
      </c>
      <c r="G14" s="18" t="s">
        <v>111</v>
      </c>
    </row>
    <row r="15" spans="1:11" x14ac:dyDescent="0.35">
      <c r="A15" s="15" t="s">
        <v>112</v>
      </c>
      <c r="B15" s="16" t="s">
        <v>81</v>
      </c>
      <c r="C15" s="16" t="s">
        <v>82</v>
      </c>
      <c r="D15" s="16" t="s">
        <v>113</v>
      </c>
      <c r="E15" s="17">
        <v>39000</v>
      </c>
      <c r="F15" s="16" t="s">
        <v>114</v>
      </c>
      <c r="G15" s="18" t="s">
        <v>115</v>
      </c>
    </row>
    <row r="16" spans="1:11" x14ac:dyDescent="0.35">
      <c r="A16" s="15" t="s">
        <v>116</v>
      </c>
      <c r="B16" s="16" t="s">
        <v>75</v>
      </c>
      <c r="C16" s="16" t="s">
        <v>76</v>
      </c>
      <c r="D16" s="16" t="s">
        <v>117</v>
      </c>
      <c r="E16" s="17">
        <v>41000</v>
      </c>
      <c r="F16" s="16" t="s">
        <v>118</v>
      </c>
      <c r="G16" s="18" t="s">
        <v>119</v>
      </c>
    </row>
    <row r="17" spans="1:7" ht="29" x14ac:dyDescent="0.35">
      <c r="A17" s="15" t="s">
        <v>120</v>
      </c>
      <c r="B17" s="16" t="s">
        <v>75</v>
      </c>
      <c r="C17" s="16" t="s">
        <v>76</v>
      </c>
      <c r="D17" s="16" t="s">
        <v>121</v>
      </c>
      <c r="E17" s="17">
        <v>41000</v>
      </c>
      <c r="F17" s="16" t="s">
        <v>122</v>
      </c>
      <c r="G17" s="18" t="s">
        <v>123</v>
      </c>
    </row>
    <row r="18" spans="1:7" ht="29" x14ac:dyDescent="0.35">
      <c r="A18" s="15" t="s">
        <v>124</v>
      </c>
      <c r="B18" s="16" t="s">
        <v>75</v>
      </c>
      <c r="C18" s="16" t="s">
        <v>76</v>
      </c>
      <c r="D18" s="16" t="s">
        <v>125</v>
      </c>
      <c r="E18" s="17">
        <v>41000</v>
      </c>
      <c r="F18" s="16" t="s">
        <v>122</v>
      </c>
      <c r="G18" s="18" t="s">
        <v>126</v>
      </c>
    </row>
    <row r="19" spans="1:7" ht="29" x14ac:dyDescent="0.35">
      <c r="A19" s="15" t="s">
        <v>127</v>
      </c>
      <c r="B19" s="16" t="s">
        <v>75</v>
      </c>
      <c r="C19" s="16" t="s">
        <v>76</v>
      </c>
      <c r="D19" s="16" t="s">
        <v>117</v>
      </c>
      <c r="E19" s="17">
        <v>41000</v>
      </c>
      <c r="F19" s="16" t="s">
        <v>118</v>
      </c>
      <c r="G19" s="18" t="s">
        <v>119</v>
      </c>
    </row>
    <row r="20" spans="1:7" ht="29" x14ac:dyDescent="0.35">
      <c r="A20" s="15" t="s">
        <v>128</v>
      </c>
      <c r="B20" s="16" t="s">
        <v>129</v>
      </c>
      <c r="C20" s="16" t="s">
        <v>130</v>
      </c>
      <c r="D20" s="16" t="s">
        <v>131</v>
      </c>
      <c r="E20" s="17">
        <v>35000</v>
      </c>
      <c r="F20" s="16" t="s">
        <v>132</v>
      </c>
      <c r="G20" s="18" t="s">
        <v>133</v>
      </c>
    </row>
    <row r="21" spans="1:7" ht="29" x14ac:dyDescent="0.35">
      <c r="A21" s="15" t="s">
        <v>134</v>
      </c>
      <c r="B21" s="16" t="s">
        <v>129</v>
      </c>
      <c r="C21" s="16" t="s">
        <v>130</v>
      </c>
      <c r="D21" s="16" t="s">
        <v>135</v>
      </c>
      <c r="E21" s="17">
        <v>35000</v>
      </c>
      <c r="F21" s="16" t="s">
        <v>136</v>
      </c>
      <c r="G21" s="18" t="s">
        <v>137</v>
      </c>
    </row>
    <row r="22" spans="1:7" x14ac:dyDescent="0.35">
      <c r="A22" s="19" t="s">
        <v>138</v>
      </c>
      <c r="B22" s="20" t="s">
        <v>69</v>
      </c>
      <c r="C22" s="20" t="s">
        <v>70</v>
      </c>
      <c r="D22" s="20" t="s">
        <v>99</v>
      </c>
      <c r="E22" s="17">
        <v>675000</v>
      </c>
      <c r="F22" s="20" t="s">
        <v>71</v>
      </c>
      <c r="G22" s="21" t="s">
        <v>101</v>
      </c>
    </row>
    <row r="23" spans="1:7" ht="29" x14ac:dyDescent="0.35">
      <c r="A23" s="19" t="s">
        <v>139</v>
      </c>
      <c r="B23" s="20" t="s">
        <v>140</v>
      </c>
      <c r="C23" s="20" t="s">
        <v>140</v>
      </c>
      <c r="D23" s="20" t="s">
        <v>141</v>
      </c>
      <c r="E23" s="22">
        <v>175000</v>
      </c>
      <c r="F23" s="20" t="s">
        <v>140</v>
      </c>
      <c r="G23" s="21" t="s">
        <v>142</v>
      </c>
    </row>
    <row r="24" spans="1:7" x14ac:dyDescent="0.35">
      <c r="A24" s="23"/>
      <c r="B24" s="23"/>
      <c r="C24" s="23"/>
      <c r="D24" s="23"/>
      <c r="E24" s="23"/>
      <c r="F24" s="23"/>
      <c r="G24" s="23"/>
    </row>
    <row r="25" spans="1:7" x14ac:dyDescent="0.35">
      <c r="A25" s="23"/>
      <c r="B25" s="23"/>
      <c r="C25" s="23"/>
      <c r="D25" s="23"/>
      <c r="E25" s="23"/>
      <c r="F25" s="23"/>
      <c r="G25" s="23"/>
    </row>
    <row r="26" spans="1:7" x14ac:dyDescent="0.35">
      <c r="A26" s="23"/>
      <c r="B26" s="23"/>
      <c r="C26" s="23"/>
      <c r="D26" s="23"/>
      <c r="E26" s="23"/>
      <c r="F26" s="23"/>
      <c r="G26" s="23"/>
    </row>
    <row r="27" spans="1:7" x14ac:dyDescent="0.35">
      <c r="A27" s="23"/>
      <c r="B27" s="23"/>
      <c r="C27" s="23"/>
      <c r="D27" s="23"/>
      <c r="E27" s="23"/>
      <c r="F27" s="23"/>
      <c r="G27" s="23"/>
    </row>
    <row r="28" spans="1:7" x14ac:dyDescent="0.35">
      <c r="A28" s="23"/>
      <c r="B28" s="23"/>
      <c r="C28" s="23"/>
      <c r="D28" s="23"/>
      <c r="E28" s="23"/>
      <c r="F28" s="23"/>
      <c r="G28" s="23"/>
    </row>
    <row r="29" spans="1:7" x14ac:dyDescent="0.35">
      <c r="A29" s="23"/>
      <c r="B29" s="23"/>
      <c r="C29" s="23"/>
      <c r="D29" s="23"/>
      <c r="E29" s="23"/>
      <c r="F29" s="23"/>
      <c r="G29" s="23"/>
    </row>
    <row r="30" spans="1:7" x14ac:dyDescent="0.35">
      <c r="A30" s="23"/>
      <c r="B30" s="23"/>
      <c r="C30" s="23"/>
      <c r="D30" s="23"/>
      <c r="E30" s="23"/>
      <c r="F30" s="23"/>
      <c r="G30" s="23"/>
    </row>
    <row r="31" spans="1:7" x14ac:dyDescent="0.35">
      <c r="A31" s="23"/>
      <c r="B31" s="23"/>
      <c r="C31" s="23"/>
      <c r="D31" s="23"/>
      <c r="E31" s="23"/>
      <c r="F31" s="23"/>
      <c r="G31" s="23"/>
    </row>
    <row r="32" spans="1:7" x14ac:dyDescent="0.35">
      <c r="A32" s="23"/>
      <c r="B32" s="23"/>
      <c r="C32" s="23"/>
      <c r="D32" s="23"/>
      <c r="E32" s="23"/>
      <c r="F32" s="23"/>
      <c r="G32" s="23"/>
    </row>
    <row r="33" spans="1:7" x14ac:dyDescent="0.35">
      <c r="A33" s="23"/>
      <c r="B33" s="23"/>
      <c r="C33" s="23"/>
      <c r="D33" s="23"/>
      <c r="E33" s="23"/>
      <c r="F33" s="23"/>
      <c r="G33" s="23"/>
    </row>
    <row r="34" spans="1:7" x14ac:dyDescent="0.35">
      <c r="A34" s="23"/>
      <c r="B34" s="23"/>
      <c r="C34" s="23"/>
      <c r="D34" s="23"/>
      <c r="E34" s="23"/>
      <c r="F34" s="23"/>
      <c r="G34" s="23"/>
    </row>
    <row r="35" spans="1:7" x14ac:dyDescent="0.35">
      <c r="A35" s="23"/>
      <c r="B35" s="23"/>
      <c r="C35" s="23"/>
      <c r="D35" s="23"/>
      <c r="E35" s="23"/>
      <c r="F35" s="23"/>
      <c r="G35" s="23"/>
    </row>
    <row r="36" spans="1:7" x14ac:dyDescent="0.35">
      <c r="A36" s="23"/>
      <c r="B36" s="23"/>
      <c r="C36" s="23"/>
      <c r="D36" s="23"/>
      <c r="E36" s="23"/>
      <c r="F36" s="23"/>
      <c r="G36" s="23"/>
    </row>
    <row r="37" spans="1:7" x14ac:dyDescent="0.35">
      <c r="A37" s="23"/>
      <c r="B37" s="23"/>
      <c r="C37" s="23"/>
      <c r="D37" s="23"/>
      <c r="E37" s="23"/>
      <c r="F37" s="23"/>
      <c r="G37" s="23"/>
    </row>
    <row r="38" spans="1:7" x14ac:dyDescent="0.35">
      <c r="A38" s="23"/>
      <c r="B38" s="23"/>
      <c r="C38" s="23"/>
      <c r="D38" s="23"/>
      <c r="E38" s="23"/>
      <c r="F38" s="23"/>
      <c r="G38" s="23"/>
    </row>
    <row r="39" spans="1:7" x14ac:dyDescent="0.35">
      <c r="A39" s="23"/>
      <c r="B39" s="23"/>
      <c r="C39" s="23"/>
      <c r="D39" s="23"/>
      <c r="E39" s="23"/>
      <c r="F39" s="23"/>
      <c r="G39" s="23"/>
    </row>
    <row r="40" spans="1:7" x14ac:dyDescent="0.35">
      <c r="A40" s="23"/>
      <c r="B40" s="23"/>
      <c r="C40" s="23"/>
      <c r="D40" s="23"/>
      <c r="E40" s="23"/>
      <c r="F40" s="23"/>
      <c r="G40" s="23"/>
    </row>
    <row r="41" spans="1:7" x14ac:dyDescent="0.35">
      <c r="A41" s="23"/>
      <c r="B41" s="23"/>
      <c r="C41" s="23"/>
      <c r="D41" s="23"/>
      <c r="E41" s="23"/>
      <c r="F41" s="23"/>
      <c r="G41" s="23"/>
    </row>
    <row r="42" spans="1:7" x14ac:dyDescent="0.35">
      <c r="A42" s="23"/>
      <c r="B42" s="23"/>
      <c r="C42" s="23"/>
      <c r="D42" s="23"/>
      <c r="E42" s="23"/>
      <c r="F42" s="23"/>
      <c r="G42" s="23"/>
    </row>
    <row r="43" spans="1:7" x14ac:dyDescent="0.35">
      <c r="A43" s="23"/>
      <c r="B43" s="23"/>
      <c r="C43" s="23"/>
      <c r="D43" s="23"/>
      <c r="E43" s="23"/>
      <c r="F43" s="23"/>
      <c r="G43" s="23"/>
    </row>
    <row r="44" spans="1:7" x14ac:dyDescent="0.35">
      <c r="A44" s="23"/>
      <c r="B44" s="23"/>
      <c r="C44" s="23"/>
      <c r="D44" s="23"/>
      <c r="E44" s="23"/>
      <c r="F44" s="23"/>
      <c r="G44" s="23"/>
    </row>
    <row r="45" spans="1:7" x14ac:dyDescent="0.35">
      <c r="A45" s="23"/>
      <c r="B45" s="23"/>
      <c r="C45" s="23"/>
      <c r="D45" s="23"/>
      <c r="E45" s="23"/>
      <c r="F45" s="23"/>
      <c r="G45" s="23"/>
    </row>
    <row r="46" spans="1:7" x14ac:dyDescent="0.35">
      <c r="A46" s="23"/>
      <c r="B46" s="23"/>
      <c r="C46" s="23"/>
      <c r="D46" s="23"/>
      <c r="E46" s="23"/>
      <c r="F46" s="23"/>
      <c r="G46" s="23"/>
    </row>
    <row r="47" spans="1:7" x14ac:dyDescent="0.35">
      <c r="A47" s="23"/>
      <c r="B47" s="23"/>
      <c r="C47" s="23"/>
      <c r="D47" s="23"/>
      <c r="E47" s="23"/>
      <c r="F47" s="23"/>
      <c r="G47" s="23"/>
    </row>
    <row r="48" spans="1:7" x14ac:dyDescent="0.35">
      <c r="A48" s="23"/>
      <c r="B48" s="23"/>
      <c r="C48" s="23"/>
      <c r="D48" s="23"/>
      <c r="E48" s="23"/>
      <c r="F48" s="23"/>
      <c r="G48" s="23"/>
    </row>
    <row r="49" spans="1:7" x14ac:dyDescent="0.35">
      <c r="A49" s="23"/>
      <c r="B49" s="23"/>
      <c r="C49" s="23"/>
      <c r="D49" s="23"/>
      <c r="E49" s="23"/>
      <c r="F49" s="23"/>
      <c r="G49" s="23"/>
    </row>
    <row r="50" spans="1:7" x14ac:dyDescent="0.35">
      <c r="A50" s="23"/>
      <c r="B50" s="23"/>
      <c r="C50" s="23"/>
      <c r="D50" s="23"/>
      <c r="E50" s="23"/>
      <c r="F50" s="23"/>
      <c r="G50" s="23"/>
    </row>
    <row r="51" spans="1:7" x14ac:dyDescent="0.35">
      <c r="A51" s="23"/>
      <c r="B51" s="23"/>
      <c r="C51" s="23"/>
      <c r="D51" s="23"/>
      <c r="E51" s="23"/>
      <c r="F51" s="23"/>
      <c r="G51" s="23"/>
    </row>
  </sheetData>
  <sheetProtection algorithmName="SHA-512" hashValue="kktb/fslqQFGxglAGP1B23pfvLAin8YH9J1YeILOGajD/VWOJalATwG6mpAN2US2WFPW3LOYxXjqObfvG6snbA==" saltValue="lBAVdiR5aCzoAZy+WZSJCg==" spinCount="100000" sheet="1" objects="1" scenarios="1"/>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244B-EF1B-44D3-82BA-EDA9CDED52FD}">
  <dimension ref="A1:H42"/>
  <sheetViews>
    <sheetView view="pageBreakPreview" zoomScale="130" zoomScaleNormal="100" zoomScaleSheetLayoutView="130" workbookViewId="0">
      <selection activeCell="C11" sqref="C11:E11"/>
    </sheetView>
  </sheetViews>
  <sheetFormatPr baseColWidth="10" defaultRowHeight="14.5" x14ac:dyDescent="0.35"/>
  <cols>
    <col min="1" max="1" width="16.90625" customWidth="1"/>
    <col min="2" max="2" width="15.7265625" customWidth="1"/>
    <col min="3" max="4" width="20.6328125" customWidth="1"/>
    <col min="5" max="5" width="23.26953125" customWidth="1"/>
    <col min="6" max="8" width="20.6328125" customWidth="1"/>
  </cols>
  <sheetData>
    <row r="1" spans="1:8" ht="15.5" customHeight="1" x14ac:dyDescent="0.35">
      <c r="A1" s="121" t="e" vm="1">
        <v>#VALUE!</v>
      </c>
      <c r="B1" s="124" t="s">
        <v>0</v>
      </c>
      <c r="C1" s="125"/>
      <c r="D1" s="125"/>
      <c r="E1" s="125"/>
      <c r="F1" s="125"/>
      <c r="G1" s="126"/>
      <c r="H1" s="33"/>
    </row>
    <row r="2" spans="1:8" ht="15.5" customHeight="1" x14ac:dyDescent="0.35">
      <c r="A2" s="122"/>
      <c r="B2" s="127" t="s">
        <v>1</v>
      </c>
      <c r="C2" s="128"/>
      <c r="D2" s="128"/>
      <c r="E2" s="128"/>
      <c r="F2" s="128"/>
      <c r="G2" s="129"/>
      <c r="H2" s="28" t="s">
        <v>145</v>
      </c>
    </row>
    <row r="3" spans="1:8" ht="17.5" customHeight="1" x14ac:dyDescent="0.35">
      <c r="A3" s="122"/>
      <c r="B3" s="127" t="s">
        <v>2</v>
      </c>
      <c r="C3" s="128"/>
      <c r="D3" s="128"/>
      <c r="E3" s="128"/>
      <c r="F3" s="128"/>
      <c r="G3" s="129"/>
      <c r="H3" s="28" t="s">
        <v>3</v>
      </c>
    </row>
    <row r="4" spans="1:8" ht="21.5" customHeight="1" x14ac:dyDescent="0.35">
      <c r="A4" s="123"/>
      <c r="B4" s="130" t="s">
        <v>144</v>
      </c>
      <c r="C4" s="131"/>
      <c r="D4" s="131"/>
      <c r="E4" s="131"/>
      <c r="F4" s="131"/>
      <c r="G4" s="132"/>
      <c r="H4" s="34"/>
    </row>
    <row r="5" spans="1:8" x14ac:dyDescent="0.35">
      <c r="A5" s="133" t="s">
        <v>153</v>
      </c>
      <c r="B5" s="134"/>
      <c r="C5" s="134"/>
      <c r="D5" s="134"/>
      <c r="E5" s="134"/>
      <c r="F5" s="134"/>
      <c r="G5" s="134"/>
      <c r="H5" s="134"/>
    </row>
    <row r="6" spans="1:8" ht="31.5" customHeight="1" x14ac:dyDescent="0.35">
      <c r="A6" s="118" t="s">
        <v>154</v>
      </c>
      <c r="B6" s="118"/>
      <c r="C6" s="118"/>
      <c r="D6" s="118"/>
      <c r="E6" s="118"/>
      <c r="F6" s="118"/>
      <c r="G6" s="118"/>
      <c r="H6" s="118"/>
    </row>
    <row r="7" spans="1:8" x14ac:dyDescent="0.35">
      <c r="A7" s="119" t="s">
        <v>155</v>
      </c>
      <c r="B7" s="120"/>
      <c r="C7" s="120" t="s">
        <v>156</v>
      </c>
      <c r="D7" s="120"/>
      <c r="E7" s="120"/>
      <c r="F7" s="120" t="s">
        <v>157</v>
      </c>
      <c r="G7" s="120"/>
      <c r="H7" s="120"/>
    </row>
    <row r="8" spans="1:8" ht="29.5" customHeight="1" x14ac:dyDescent="0.35">
      <c r="A8" s="161" t="s">
        <v>18</v>
      </c>
      <c r="B8" s="161"/>
      <c r="C8" s="161"/>
      <c r="D8" s="161"/>
      <c r="E8" s="161"/>
      <c r="F8" s="161"/>
      <c r="G8" s="161"/>
      <c r="H8" s="161"/>
    </row>
    <row r="9" spans="1:8" ht="30" customHeight="1" x14ac:dyDescent="0.35">
      <c r="A9" s="138" t="s">
        <v>171</v>
      </c>
      <c r="B9" s="139"/>
      <c r="C9" s="140" t="s">
        <v>172</v>
      </c>
      <c r="D9" s="141"/>
      <c r="E9" s="142"/>
      <c r="F9" s="135" t="s">
        <v>140</v>
      </c>
      <c r="G9" s="135"/>
      <c r="H9" s="135"/>
    </row>
    <row r="10" spans="1:8" ht="30" customHeight="1" x14ac:dyDescent="0.35">
      <c r="A10" s="136" t="s">
        <v>160</v>
      </c>
      <c r="B10" s="136"/>
      <c r="C10" s="137" t="s">
        <v>161</v>
      </c>
      <c r="D10" s="137"/>
      <c r="E10" s="137"/>
      <c r="F10" s="135" t="s">
        <v>140</v>
      </c>
      <c r="G10" s="135"/>
      <c r="H10" s="135"/>
    </row>
    <row r="11" spans="1:8" ht="30" customHeight="1" x14ac:dyDescent="0.35">
      <c r="A11" s="162" t="s">
        <v>195</v>
      </c>
      <c r="B11" s="163"/>
      <c r="C11" s="145" t="s">
        <v>196</v>
      </c>
      <c r="D11" s="146"/>
      <c r="E11" s="147"/>
      <c r="F11" s="135" t="s">
        <v>140</v>
      </c>
      <c r="G11" s="135"/>
      <c r="H11" s="135"/>
    </row>
    <row r="12" spans="1:8" ht="30" customHeight="1" x14ac:dyDescent="0.35">
      <c r="A12" s="164" t="s">
        <v>11</v>
      </c>
      <c r="B12" s="163"/>
      <c r="C12" s="145" t="s">
        <v>197</v>
      </c>
      <c r="D12" s="146"/>
      <c r="E12" s="147"/>
      <c r="F12" s="135" t="s">
        <v>140</v>
      </c>
      <c r="G12" s="135"/>
      <c r="H12" s="135"/>
    </row>
    <row r="13" spans="1:8" ht="30" customHeight="1" x14ac:dyDescent="0.35">
      <c r="A13" s="161" t="s">
        <v>194</v>
      </c>
      <c r="B13" s="161"/>
      <c r="C13" s="161"/>
      <c r="D13" s="161"/>
      <c r="E13" s="161"/>
      <c r="F13" s="161"/>
      <c r="G13" s="161"/>
      <c r="H13" s="161"/>
    </row>
    <row r="14" spans="1:8" ht="60.5" customHeight="1" x14ac:dyDescent="0.35">
      <c r="A14" s="148" t="s">
        <v>4</v>
      </c>
      <c r="B14" s="148"/>
      <c r="C14" s="149" t="s">
        <v>163</v>
      </c>
      <c r="D14" s="150"/>
      <c r="E14" s="151"/>
      <c r="F14" s="135" t="s">
        <v>140</v>
      </c>
      <c r="G14" s="135"/>
      <c r="H14" s="135"/>
    </row>
    <row r="15" spans="1:8" ht="40.5" customHeight="1" x14ac:dyDescent="0.35">
      <c r="A15" s="136" t="s">
        <v>45</v>
      </c>
      <c r="B15" s="136"/>
      <c r="C15" s="137" t="s">
        <v>164</v>
      </c>
      <c r="D15" s="137"/>
      <c r="E15" s="137"/>
      <c r="F15" s="135" t="s">
        <v>140</v>
      </c>
      <c r="G15" s="135"/>
      <c r="H15" s="135"/>
    </row>
    <row r="16" spans="1:8" ht="48.5" customHeight="1" x14ac:dyDescent="0.35">
      <c r="A16" s="143" t="s">
        <v>5</v>
      </c>
      <c r="B16" s="144"/>
      <c r="C16" s="145" t="s">
        <v>165</v>
      </c>
      <c r="D16" s="146"/>
      <c r="E16" s="147"/>
      <c r="F16" s="135" t="s">
        <v>140</v>
      </c>
      <c r="G16" s="135"/>
      <c r="H16" s="135"/>
    </row>
    <row r="17" spans="1:8" ht="30" customHeight="1" x14ac:dyDescent="0.35">
      <c r="A17" s="152" t="s">
        <v>20</v>
      </c>
      <c r="B17" s="152"/>
      <c r="C17" s="153" t="s">
        <v>166</v>
      </c>
      <c r="D17" s="153"/>
      <c r="E17" s="153"/>
      <c r="F17" s="135" t="s">
        <v>140</v>
      </c>
      <c r="G17" s="135"/>
      <c r="H17" s="135"/>
    </row>
    <row r="18" spans="1:8" ht="30" customHeight="1" x14ac:dyDescent="0.35">
      <c r="A18" s="152" t="s">
        <v>174</v>
      </c>
      <c r="B18" s="152"/>
      <c r="C18" s="153" t="s">
        <v>167</v>
      </c>
      <c r="D18" s="153"/>
      <c r="E18" s="153"/>
      <c r="F18" s="135" t="s">
        <v>140</v>
      </c>
      <c r="G18" s="135"/>
      <c r="H18" s="135"/>
    </row>
    <row r="19" spans="1:8" ht="30" customHeight="1" x14ac:dyDescent="0.35">
      <c r="A19" s="152" t="s">
        <v>46</v>
      </c>
      <c r="B19" s="152"/>
      <c r="C19" s="153" t="s">
        <v>168</v>
      </c>
      <c r="D19" s="153"/>
      <c r="E19" s="153"/>
      <c r="F19" s="135" t="s">
        <v>140</v>
      </c>
      <c r="G19" s="135"/>
      <c r="H19" s="135"/>
    </row>
    <row r="20" spans="1:8" ht="30" customHeight="1" x14ac:dyDescent="0.35">
      <c r="A20" s="152" t="s">
        <v>8</v>
      </c>
      <c r="B20" s="152"/>
      <c r="C20" s="154" t="s">
        <v>169</v>
      </c>
      <c r="D20" s="155"/>
      <c r="E20" s="156"/>
      <c r="F20" s="135" t="s">
        <v>140</v>
      </c>
      <c r="G20" s="135"/>
      <c r="H20" s="135"/>
    </row>
    <row r="21" spans="1:8" ht="30" customHeight="1" x14ac:dyDescent="0.35">
      <c r="A21" s="152" t="s">
        <v>7</v>
      </c>
      <c r="B21" s="152"/>
      <c r="C21" s="154" t="s">
        <v>170</v>
      </c>
      <c r="D21" s="155"/>
      <c r="E21" s="156"/>
      <c r="F21" s="135" t="s">
        <v>140</v>
      </c>
      <c r="G21" s="135"/>
      <c r="H21" s="135"/>
    </row>
    <row r="22" spans="1:8" ht="30" customHeight="1" x14ac:dyDescent="0.35">
      <c r="A22" s="161" t="s">
        <v>19</v>
      </c>
      <c r="B22" s="161"/>
      <c r="C22" s="161"/>
      <c r="D22" s="161"/>
      <c r="E22" s="161"/>
      <c r="F22" s="161"/>
      <c r="G22" s="161"/>
      <c r="H22" s="161"/>
    </row>
    <row r="23" spans="1:8" ht="34" customHeight="1" x14ac:dyDescent="0.35">
      <c r="A23" s="138" t="s">
        <v>12</v>
      </c>
      <c r="B23" s="139"/>
      <c r="C23" s="118" t="s">
        <v>199</v>
      </c>
      <c r="D23" s="118"/>
      <c r="E23" s="118"/>
      <c r="F23" s="135" t="s">
        <v>140</v>
      </c>
      <c r="G23" s="135"/>
      <c r="H23" s="135"/>
    </row>
    <row r="24" spans="1:8" ht="47.5" customHeight="1" x14ac:dyDescent="0.35">
      <c r="A24" s="138" t="s">
        <v>14</v>
      </c>
      <c r="B24" s="139"/>
      <c r="C24" s="145" t="s">
        <v>177</v>
      </c>
      <c r="D24" s="146"/>
      <c r="E24" s="147"/>
      <c r="F24" s="135" t="s">
        <v>140</v>
      </c>
      <c r="G24" s="135"/>
      <c r="H24" s="135"/>
    </row>
    <row r="25" spans="1:8" ht="35.5" customHeight="1" x14ac:dyDescent="0.35">
      <c r="A25" s="138" t="s">
        <v>50</v>
      </c>
      <c r="B25" s="139"/>
      <c r="C25" s="145" t="s">
        <v>178</v>
      </c>
      <c r="D25" s="146"/>
      <c r="E25" s="147"/>
      <c r="F25" s="135" t="s">
        <v>140</v>
      </c>
      <c r="G25" s="135"/>
      <c r="H25" s="135"/>
    </row>
    <row r="26" spans="1:8" ht="30" customHeight="1" x14ac:dyDescent="0.35">
      <c r="A26" s="138" t="s">
        <v>13</v>
      </c>
      <c r="B26" s="139"/>
      <c r="C26" s="145" t="s">
        <v>179</v>
      </c>
      <c r="D26" s="146"/>
      <c r="E26" s="147"/>
      <c r="F26" s="135" t="s">
        <v>140</v>
      </c>
      <c r="G26" s="135"/>
      <c r="H26" s="135"/>
    </row>
    <row r="27" spans="1:8" ht="30" customHeight="1" x14ac:dyDescent="0.35">
      <c r="A27" s="138" t="s">
        <v>15</v>
      </c>
      <c r="B27" s="139"/>
      <c r="C27" s="145" t="s">
        <v>180</v>
      </c>
      <c r="D27" s="146"/>
      <c r="E27" s="147"/>
      <c r="F27" s="135" t="s">
        <v>140</v>
      </c>
      <c r="G27" s="135"/>
      <c r="H27" s="135"/>
    </row>
    <row r="28" spans="1:8" ht="54" customHeight="1" x14ac:dyDescent="0.35">
      <c r="A28" s="138" t="s">
        <v>16</v>
      </c>
      <c r="B28" s="139"/>
      <c r="C28" s="145" t="s">
        <v>181</v>
      </c>
      <c r="D28" s="146"/>
      <c r="E28" s="147"/>
      <c r="F28" s="135" t="s">
        <v>140</v>
      </c>
      <c r="G28" s="135"/>
      <c r="H28" s="135"/>
    </row>
    <row r="29" spans="1:8" ht="221.5" customHeight="1" x14ac:dyDescent="0.35">
      <c r="A29" s="138" t="s">
        <v>48</v>
      </c>
      <c r="B29" s="139"/>
      <c r="C29" s="145" t="s">
        <v>158</v>
      </c>
      <c r="D29" s="146"/>
      <c r="E29" s="147"/>
      <c r="F29" s="158" t="s">
        <v>159</v>
      </c>
      <c r="G29" s="159"/>
      <c r="H29" s="160"/>
    </row>
    <row r="30" spans="1:8" ht="30" customHeight="1" x14ac:dyDescent="0.35">
      <c r="A30" s="138" t="s">
        <v>51</v>
      </c>
      <c r="B30" s="139"/>
      <c r="C30" s="145" t="s">
        <v>162</v>
      </c>
      <c r="D30" s="146"/>
      <c r="E30" s="147"/>
      <c r="F30" s="135" t="s">
        <v>140</v>
      </c>
      <c r="G30" s="135"/>
      <c r="H30" s="135"/>
    </row>
    <row r="31" spans="1:8" ht="40" customHeight="1" x14ac:dyDescent="0.35">
      <c r="A31" s="138" t="s">
        <v>49</v>
      </c>
      <c r="B31" s="139"/>
      <c r="C31" s="145" t="s">
        <v>184</v>
      </c>
      <c r="D31" s="146"/>
      <c r="E31" s="147"/>
      <c r="F31" s="135" t="s">
        <v>140</v>
      </c>
      <c r="G31" s="135"/>
      <c r="H31" s="135"/>
    </row>
    <row r="32" spans="1:8" ht="33" customHeight="1" x14ac:dyDescent="0.35">
      <c r="A32" s="138" t="s">
        <v>52</v>
      </c>
      <c r="B32" s="139"/>
      <c r="C32" s="145" t="s">
        <v>185</v>
      </c>
      <c r="D32" s="146"/>
      <c r="E32" s="147"/>
      <c r="F32" s="135" t="s">
        <v>140</v>
      </c>
      <c r="G32" s="135"/>
      <c r="H32" s="135"/>
    </row>
    <row r="33" spans="1:8" ht="36" customHeight="1" x14ac:dyDescent="0.35">
      <c r="A33" s="138" t="s">
        <v>175</v>
      </c>
      <c r="B33" s="139"/>
      <c r="C33" s="145" t="s">
        <v>176</v>
      </c>
      <c r="D33" s="146"/>
      <c r="E33" s="147"/>
      <c r="F33" s="135" t="s">
        <v>140</v>
      </c>
      <c r="G33" s="135"/>
      <c r="H33" s="135"/>
    </row>
    <row r="34" spans="1:8" ht="35.5" customHeight="1" x14ac:dyDescent="0.35">
      <c r="A34" s="138" t="s">
        <v>21</v>
      </c>
      <c r="B34" s="139"/>
      <c r="C34" s="145" t="s">
        <v>191</v>
      </c>
      <c r="D34" s="146"/>
      <c r="E34" s="147"/>
      <c r="F34" s="135" t="s">
        <v>140</v>
      </c>
      <c r="G34" s="135"/>
      <c r="H34" s="135"/>
    </row>
    <row r="35" spans="1:8" ht="39" customHeight="1" x14ac:dyDescent="0.35">
      <c r="A35" s="138" t="s">
        <v>53</v>
      </c>
      <c r="B35" s="139"/>
      <c r="C35" s="145" t="s">
        <v>189</v>
      </c>
      <c r="D35" s="146"/>
      <c r="E35" s="147"/>
      <c r="F35" s="135" t="s">
        <v>140</v>
      </c>
      <c r="G35" s="135"/>
      <c r="H35" s="135"/>
    </row>
    <row r="36" spans="1:8" ht="27.5" customHeight="1" x14ac:dyDescent="0.35">
      <c r="A36" s="161" t="s">
        <v>182</v>
      </c>
      <c r="B36" s="161"/>
      <c r="C36" s="161"/>
      <c r="D36" s="161"/>
      <c r="E36" s="161"/>
      <c r="F36" s="161"/>
      <c r="G36" s="161"/>
      <c r="H36" s="161"/>
    </row>
    <row r="37" spans="1:8" ht="53.5" customHeight="1" x14ac:dyDescent="0.35">
      <c r="A37" s="153" t="s">
        <v>183</v>
      </c>
      <c r="B37" s="153"/>
      <c r="C37" s="157" t="s">
        <v>186</v>
      </c>
      <c r="D37" s="157"/>
      <c r="E37" s="157"/>
      <c r="F37" s="135" t="s">
        <v>140</v>
      </c>
      <c r="G37" s="135"/>
      <c r="H37" s="135"/>
    </row>
    <row r="38" spans="1:8" ht="35.5" customHeight="1" x14ac:dyDescent="0.35">
      <c r="A38" s="157" t="s">
        <v>34</v>
      </c>
      <c r="B38" s="157"/>
      <c r="C38" s="157" t="s">
        <v>187</v>
      </c>
      <c r="D38" s="157"/>
      <c r="E38" s="157"/>
      <c r="F38" s="135" t="s">
        <v>140</v>
      </c>
      <c r="G38" s="135"/>
      <c r="H38" s="135"/>
    </row>
    <row r="39" spans="1:8" ht="27" customHeight="1" x14ac:dyDescent="0.35">
      <c r="A39" s="161" t="s">
        <v>54</v>
      </c>
      <c r="B39" s="161"/>
      <c r="C39" s="161"/>
      <c r="D39" s="161"/>
      <c r="E39" s="161"/>
      <c r="F39" s="161"/>
      <c r="G39" s="161"/>
      <c r="H39" s="161"/>
    </row>
    <row r="40" spans="1:8" ht="40.5" customHeight="1" x14ac:dyDescent="0.35">
      <c r="A40" s="157" t="s">
        <v>35</v>
      </c>
      <c r="B40" s="157"/>
      <c r="C40" s="157" t="s">
        <v>190</v>
      </c>
      <c r="D40" s="157"/>
      <c r="E40" s="157"/>
      <c r="F40" s="135" t="s">
        <v>140</v>
      </c>
      <c r="G40" s="135"/>
      <c r="H40" s="135"/>
    </row>
    <row r="41" spans="1:8" ht="38.5" customHeight="1" x14ac:dyDescent="0.35">
      <c r="A41" s="157" t="s">
        <v>36</v>
      </c>
      <c r="B41" s="157"/>
      <c r="C41" s="157" t="s">
        <v>192</v>
      </c>
      <c r="D41" s="157"/>
      <c r="E41" s="157"/>
      <c r="F41" s="135" t="s">
        <v>140</v>
      </c>
      <c r="G41" s="135"/>
      <c r="H41" s="135"/>
    </row>
    <row r="42" spans="1:8" ht="42" customHeight="1" x14ac:dyDescent="0.35">
      <c r="A42" s="149" t="s">
        <v>188</v>
      </c>
      <c r="B42" s="151"/>
      <c r="C42" s="149" t="s">
        <v>193</v>
      </c>
      <c r="D42" s="150"/>
      <c r="E42" s="151"/>
      <c r="F42" s="135" t="s">
        <v>140</v>
      </c>
      <c r="G42" s="135"/>
      <c r="H42" s="135"/>
    </row>
  </sheetData>
  <sheetProtection algorithmName="SHA-512" hashValue="q9MBOSzIGcAXX6umXk+4TOff4o/HiP6TdkMDU9iocuwweZcEuFkn948xPsPC16RyZ3YaDCIVfQ7TyfHdvYT9BA==" saltValue="nNEXaKjfNKZuusNY2gysZw==" spinCount="100000" sheet="1" objects="1" scenarios="1"/>
  <protectedRanges>
    <protectedRange sqref="M43" name="Rango1_2"/>
    <protectedRange sqref="M42" name="Rango1_5"/>
  </protectedRanges>
  <mergeCells count="105">
    <mergeCell ref="A39:H39"/>
    <mergeCell ref="A36:H36"/>
    <mergeCell ref="A8:H8"/>
    <mergeCell ref="A13:H13"/>
    <mergeCell ref="A22:H22"/>
    <mergeCell ref="A11:B11"/>
    <mergeCell ref="A12:B12"/>
    <mergeCell ref="C11:E11"/>
    <mergeCell ref="C12:E12"/>
    <mergeCell ref="C32:E32"/>
    <mergeCell ref="C31:E31"/>
    <mergeCell ref="C30:E30"/>
    <mergeCell ref="C29:E29"/>
    <mergeCell ref="C28:E28"/>
    <mergeCell ref="C27:E27"/>
    <mergeCell ref="A33:B33"/>
    <mergeCell ref="A34:B34"/>
    <mergeCell ref="A35:B35"/>
    <mergeCell ref="C35:E35"/>
    <mergeCell ref="C34:E34"/>
    <mergeCell ref="C33:E33"/>
    <mergeCell ref="A27:B27"/>
    <mergeCell ref="A28:B28"/>
    <mergeCell ref="A29:B29"/>
    <mergeCell ref="A38:B38"/>
    <mergeCell ref="C38:E38"/>
    <mergeCell ref="F38:H38"/>
    <mergeCell ref="A21:B21"/>
    <mergeCell ref="C21:E21"/>
    <mergeCell ref="F21:H21"/>
    <mergeCell ref="A24:B24"/>
    <mergeCell ref="A25:B25"/>
    <mergeCell ref="A42:B42"/>
    <mergeCell ref="C42:E42"/>
    <mergeCell ref="F42:H42"/>
    <mergeCell ref="A40:B40"/>
    <mergeCell ref="C40:E40"/>
    <mergeCell ref="F40:H40"/>
    <mergeCell ref="A41:B41"/>
    <mergeCell ref="C41:E41"/>
    <mergeCell ref="F41:H41"/>
    <mergeCell ref="A30:B30"/>
    <mergeCell ref="A31:B31"/>
    <mergeCell ref="A32:B32"/>
    <mergeCell ref="C24:E24"/>
    <mergeCell ref="C25:E25"/>
    <mergeCell ref="F24:H24"/>
    <mergeCell ref="F25:H25"/>
    <mergeCell ref="C20:E20"/>
    <mergeCell ref="F20:H20"/>
    <mergeCell ref="A17:B17"/>
    <mergeCell ref="C17:E17"/>
    <mergeCell ref="F17:H17"/>
    <mergeCell ref="A18:B18"/>
    <mergeCell ref="C18:E18"/>
    <mergeCell ref="F18:H18"/>
    <mergeCell ref="A37:B37"/>
    <mergeCell ref="C37:E37"/>
    <mergeCell ref="F37:H37"/>
    <mergeCell ref="A26:B26"/>
    <mergeCell ref="C26:E26"/>
    <mergeCell ref="F26:H26"/>
    <mergeCell ref="F34:H34"/>
    <mergeCell ref="F35:H35"/>
    <mergeCell ref="F27:H27"/>
    <mergeCell ref="F28:H28"/>
    <mergeCell ref="F30:H30"/>
    <mergeCell ref="F31:H31"/>
    <mergeCell ref="F32:H32"/>
    <mergeCell ref="F33:H33"/>
    <mergeCell ref="F29:H29"/>
    <mergeCell ref="F11:H11"/>
    <mergeCell ref="F12:H12"/>
    <mergeCell ref="A10:B10"/>
    <mergeCell ref="C10:E10"/>
    <mergeCell ref="F10:H10"/>
    <mergeCell ref="A23:B23"/>
    <mergeCell ref="C23:E23"/>
    <mergeCell ref="F23:H23"/>
    <mergeCell ref="A9:B9"/>
    <mergeCell ref="C9:E9"/>
    <mergeCell ref="F9:H9"/>
    <mergeCell ref="A15:B15"/>
    <mergeCell ref="C15:E15"/>
    <mergeCell ref="F15:H15"/>
    <mergeCell ref="A16:B16"/>
    <mergeCell ref="C16:E16"/>
    <mergeCell ref="F16:H16"/>
    <mergeCell ref="A14:B14"/>
    <mergeCell ref="C14:E14"/>
    <mergeCell ref="F14:H14"/>
    <mergeCell ref="A19:B19"/>
    <mergeCell ref="C19:E19"/>
    <mergeCell ref="F19:H19"/>
    <mergeCell ref="A20:B20"/>
    <mergeCell ref="A6:H6"/>
    <mergeCell ref="A7:B7"/>
    <mergeCell ref="C7:E7"/>
    <mergeCell ref="F7:H7"/>
    <mergeCell ref="A1:A4"/>
    <mergeCell ref="B1:G1"/>
    <mergeCell ref="B2:G2"/>
    <mergeCell ref="B3:G3"/>
    <mergeCell ref="B4:G4"/>
    <mergeCell ref="A5:H5"/>
  </mergeCells>
  <phoneticPr fontId="12" type="noConversion"/>
  <conditionalFormatting sqref="A16:A21 A23:A35">
    <cfRule type="containsBlanks" dxfId="4" priority="8">
      <formula>LEN(TRIM(A16))=0</formula>
    </cfRule>
  </conditionalFormatting>
  <pageMargins left="0.7" right="0.7" top="0.75" bottom="0.75" header="0.3" footer="0.3"/>
  <pageSetup paperSize="9" scale="47"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0C1A2-F21B-43CF-9868-297AD3121456}">
  <sheetPr>
    <tabColor theme="9" tint="0.59999389629810485"/>
  </sheetPr>
  <dimension ref="A1:J118"/>
  <sheetViews>
    <sheetView tabSelected="1" view="pageBreakPreview" topLeftCell="A5" zoomScale="145" zoomScaleNormal="130" zoomScaleSheetLayoutView="145" workbookViewId="0">
      <selection activeCell="B6" sqref="B6"/>
    </sheetView>
  </sheetViews>
  <sheetFormatPr baseColWidth="10" defaultColWidth="11.453125" defaultRowHeight="12" x14ac:dyDescent="0.3"/>
  <cols>
    <col min="1" max="8" width="18.6328125" style="1" customWidth="1"/>
    <col min="9" max="218" width="11.453125" style="1"/>
    <col min="219" max="226" width="1.7265625" style="1" customWidth="1"/>
    <col min="227" max="227" width="2.26953125" style="1" customWidth="1"/>
    <col min="228" max="237" width="1.7265625" style="1" customWidth="1"/>
    <col min="238" max="238" width="1" style="1" customWidth="1"/>
    <col min="239" max="241" width="1.7265625" style="1" customWidth="1"/>
    <col min="242" max="242" width="2.26953125" style="1" customWidth="1"/>
    <col min="243" max="246" width="1.7265625" style="1" customWidth="1"/>
    <col min="247" max="247" width="1.81640625" style="1" customWidth="1"/>
    <col min="248" max="248" width="2.453125" style="1" customWidth="1"/>
    <col min="249" max="250" width="1.7265625" style="1" customWidth="1"/>
    <col min="251" max="251" width="2.453125" style="1" customWidth="1"/>
    <col min="252" max="252" width="3.1796875" style="1" customWidth="1"/>
    <col min="253" max="253" width="2.26953125" style="1" customWidth="1"/>
    <col min="254" max="260" width="1.7265625" style="1" customWidth="1"/>
    <col min="261" max="261" width="2.1796875" style="1" customWidth="1"/>
    <col min="262" max="262" width="2.26953125" style="1" customWidth="1"/>
    <col min="263" max="263" width="2.7265625" style="1" customWidth="1"/>
    <col min="264" max="474" width="11.453125" style="1"/>
    <col min="475" max="482" width="1.7265625" style="1" customWidth="1"/>
    <col min="483" max="483" width="2.26953125" style="1" customWidth="1"/>
    <col min="484" max="493" width="1.7265625" style="1" customWidth="1"/>
    <col min="494" max="494" width="1" style="1" customWidth="1"/>
    <col min="495" max="497" width="1.7265625" style="1" customWidth="1"/>
    <col min="498" max="498" width="2.26953125" style="1" customWidth="1"/>
    <col min="499" max="502" width="1.7265625" style="1" customWidth="1"/>
    <col min="503" max="503" width="1.81640625" style="1" customWidth="1"/>
    <col min="504" max="504" width="2.453125" style="1" customWidth="1"/>
    <col min="505" max="506" width="1.7265625" style="1" customWidth="1"/>
    <col min="507" max="507" width="2.453125" style="1" customWidth="1"/>
    <col min="508" max="508" width="3.1796875" style="1" customWidth="1"/>
    <col min="509" max="509" width="2.26953125" style="1" customWidth="1"/>
    <col min="510" max="516" width="1.7265625" style="1" customWidth="1"/>
    <col min="517" max="517" width="2.1796875" style="1" customWidth="1"/>
    <col min="518" max="518" width="2.26953125" style="1" customWidth="1"/>
    <col min="519" max="519" width="2.7265625" style="1" customWidth="1"/>
    <col min="520" max="730" width="11.453125" style="1"/>
    <col min="731" max="738" width="1.7265625" style="1" customWidth="1"/>
    <col min="739" max="739" width="2.26953125" style="1" customWidth="1"/>
    <col min="740" max="749" width="1.7265625" style="1" customWidth="1"/>
    <col min="750" max="750" width="1" style="1" customWidth="1"/>
    <col min="751" max="753" width="1.7265625" style="1" customWidth="1"/>
    <col min="754" max="754" width="2.26953125" style="1" customWidth="1"/>
    <col min="755" max="758" width="1.7265625" style="1" customWidth="1"/>
    <col min="759" max="759" width="1.81640625" style="1" customWidth="1"/>
    <col min="760" max="760" width="2.453125" style="1" customWidth="1"/>
    <col min="761" max="762" width="1.7265625" style="1" customWidth="1"/>
    <col min="763" max="763" width="2.453125" style="1" customWidth="1"/>
    <col min="764" max="764" width="3.1796875" style="1" customWidth="1"/>
    <col min="765" max="765" width="2.26953125" style="1" customWidth="1"/>
    <col min="766" max="772" width="1.7265625" style="1" customWidth="1"/>
    <col min="773" max="773" width="2.1796875" style="1" customWidth="1"/>
    <col min="774" max="774" width="2.26953125" style="1" customWidth="1"/>
    <col min="775" max="775" width="2.7265625" style="1" customWidth="1"/>
    <col min="776" max="986" width="11.453125" style="1"/>
    <col min="987" max="994" width="1.7265625" style="1" customWidth="1"/>
    <col min="995" max="995" width="2.26953125" style="1" customWidth="1"/>
    <col min="996" max="1005" width="1.7265625" style="1" customWidth="1"/>
    <col min="1006" max="1006" width="1" style="1" customWidth="1"/>
    <col min="1007" max="1009" width="1.7265625" style="1" customWidth="1"/>
    <col min="1010" max="1010" width="2.26953125" style="1" customWidth="1"/>
    <col min="1011" max="1014" width="1.7265625" style="1" customWidth="1"/>
    <col min="1015" max="1015" width="1.81640625" style="1" customWidth="1"/>
    <col min="1016" max="1016" width="2.453125" style="1" customWidth="1"/>
    <col min="1017" max="1018" width="1.7265625" style="1" customWidth="1"/>
    <col min="1019" max="1019" width="2.453125" style="1" customWidth="1"/>
    <col min="1020" max="1020" width="3.1796875" style="1" customWidth="1"/>
    <col min="1021" max="1021" width="2.26953125" style="1" customWidth="1"/>
    <col min="1022" max="1028" width="1.7265625" style="1" customWidth="1"/>
    <col min="1029" max="1029" width="2.1796875" style="1" customWidth="1"/>
    <col min="1030" max="1030" width="2.26953125" style="1" customWidth="1"/>
    <col min="1031" max="1031" width="2.7265625" style="1" customWidth="1"/>
    <col min="1032" max="1242" width="11.453125" style="1"/>
    <col min="1243" max="1250" width="1.7265625" style="1" customWidth="1"/>
    <col min="1251" max="1251" width="2.26953125" style="1" customWidth="1"/>
    <col min="1252" max="1261" width="1.7265625" style="1" customWidth="1"/>
    <col min="1262" max="1262" width="1" style="1" customWidth="1"/>
    <col min="1263" max="1265" width="1.7265625" style="1" customWidth="1"/>
    <col min="1266" max="1266" width="2.26953125" style="1" customWidth="1"/>
    <col min="1267" max="1270" width="1.7265625" style="1" customWidth="1"/>
    <col min="1271" max="1271" width="1.81640625" style="1" customWidth="1"/>
    <col min="1272" max="1272" width="2.453125" style="1" customWidth="1"/>
    <col min="1273" max="1274" width="1.7265625" style="1" customWidth="1"/>
    <col min="1275" max="1275" width="2.453125" style="1" customWidth="1"/>
    <col min="1276" max="1276" width="3.1796875" style="1" customWidth="1"/>
    <col min="1277" max="1277" width="2.26953125" style="1" customWidth="1"/>
    <col min="1278" max="1284" width="1.7265625" style="1" customWidth="1"/>
    <col min="1285" max="1285" width="2.1796875" style="1" customWidth="1"/>
    <col min="1286" max="1286" width="2.26953125" style="1" customWidth="1"/>
    <col min="1287" max="1287" width="2.7265625" style="1" customWidth="1"/>
    <col min="1288" max="1498" width="11.453125" style="1"/>
    <col min="1499" max="1506" width="1.7265625" style="1" customWidth="1"/>
    <col min="1507" max="1507" width="2.26953125" style="1" customWidth="1"/>
    <col min="1508" max="1517" width="1.7265625" style="1" customWidth="1"/>
    <col min="1518" max="1518" width="1" style="1" customWidth="1"/>
    <col min="1519" max="1521" width="1.7265625" style="1" customWidth="1"/>
    <col min="1522" max="1522" width="2.26953125" style="1" customWidth="1"/>
    <col min="1523" max="1526" width="1.7265625" style="1" customWidth="1"/>
    <col min="1527" max="1527" width="1.81640625" style="1" customWidth="1"/>
    <col min="1528" max="1528" width="2.453125" style="1" customWidth="1"/>
    <col min="1529" max="1530" width="1.7265625" style="1" customWidth="1"/>
    <col min="1531" max="1531" width="2.453125" style="1" customWidth="1"/>
    <col min="1532" max="1532" width="3.1796875" style="1" customWidth="1"/>
    <col min="1533" max="1533" width="2.26953125" style="1" customWidth="1"/>
    <col min="1534" max="1540" width="1.7265625" style="1" customWidth="1"/>
    <col min="1541" max="1541" width="2.1796875" style="1" customWidth="1"/>
    <col min="1542" max="1542" width="2.26953125" style="1" customWidth="1"/>
    <col min="1543" max="1543" width="2.7265625" style="1" customWidth="1"/>
    <col min="1544" max="1754" width="11.453125" style="1"/>
    <col min="1755" max="1762" width="1.7265625" style="1" customWidth="1"/>
    <col min="1763" max="1763" width="2.26953125" style="1" customWidth="1"/>
    <col min="1764" max="1773" width="1.7265625" style="1" customWidth="1"/>
    <col min="1774" max="1774" width="1" style="1" customWidth="1"/>
    <col min="1775" max="1777" width="1.7265625" style="1" customWidth="1"/>
    <col min="1778" max="1778" width="2.26953125" style="1" customWidth="1"/>
    <col min="1779" max="1782" width="1.7265625" style="1" customWidth="1"/>
    <col min="1783" max="1783" width="1.81640625" style="1" customWidth="1"/>
    <col min="1784" max="1784" width="2.453125" style="1" customWidth="1"/>
    <col min="1785" max="1786" width="1.7265625" style="1" customWidth="1"/>
    <col min="1787" max="1787" width="2.453125" style="1" customWidth="1"/>
    <col min="1788" max="1788" width="3.1796875" style="1" customWidth="1"/>
    <col min="1789" max="1789" width="2.26953125" style="1" customWidth="1"/>
    <col min="1790" max="1796" width="1.7265625" style="1" customWidth="1"/>
    <col min="1797" max="1797" width="2.1796875" style="1" customWidth="1"/>
    <col min="1798" max="1798" width="2.26953125" style="1" customWidth="1"/>
    <col min="1799" max="1799" width="2.7265625" style="1" customWidth="1"/>
    <col min="1800" max="2010" width="11.453125" style="1"/>
    <col min="2011" max="2018" width="1.7265625" style="1" customWidth="1"/>
    <col min="2019" max="2019" width="2.26953125" style="1" customWidth="1"/>
    <col min="2020" max="2029" width="1.7265625" style="1" customWidth="1"/>
    <col min="2030" max="2030" width="1" style="1" customWidth="1"/>
    <col min="2031" max="2033" width="1.7265625" style="1" customWidth="1"/>
    <col min="2034" max="2034" width="2.26953125" style="1" customWidth="1"/>
    <col min="2035" max="2038" width="1.7265625" style="1" customWidth="1"/>
    <col min="2039" max="2039" width="1.81640625" style="1" customWidth="1"/>
    <col min="2040" max="2040" width="2.453125" style="1" customWidth="1"/>
    <col min="2041" max="2042" width="1.7265625" style="1" customWidth="1"/>
    <col min="2043" max="2043" width="2.453125" style="1" customWidth="1"/>
    <col min="2044" max="2044" width="3.1796875" style="1" customWidth="1"/>
    <col min="2045" max="2045" width="2.26953125" style="1" customWidth="1"/>
    <col min="2046" max="2052" width="1.7265625" style="1" customWidth="1"/>
    <col min="2053" max="2053" width="2.1796875" style="1" customWidth="1"/>
    <col min="2054" max="2054" width="2.26953125" style="1" customWidth="1"/>
    <col min="2055" max="2055" width="2.7265625" style="1" customWidth="1"/>
    <col min="2056" max="2266" width="11.453125" style="1"/>
    <col min="2267" max="2274" width="1.7265625" style="1" customWidth="1"/>
    <col min="2275" max="2275" width="2.26953125" style="1" customWidth="1"/>
    <col min="2276" max="2285" width="1.7265625" style="1" customWidth="1"/>
    <col min="2286" max="2286" width="1" style="1" customWidth="1"/>
    <col min="2287" max="2289" width="1.7265625" style="1" customWidth="1"/>
    <col min="2290" max="2290" width="2.26953125" style="1" customWidth="1"/>
    <col min="2291" max="2294" width="1.7265625" style="1" customWidth="1"/>
    <col min="2295" max="2295" width="1.81640625" style="1" customWidth="1"/>
    <col min="2296" max="2296" width="2.453125" style="1" customWidth="1"/>
    <col min="2297" max="2298" width="1.7265625" style="1" customWidth="1"/>
    <col min="2299" max="2299" width="2.453125" style="1" customWidth="1"/>
    <col min="2300" max="2300" width="3.1796875" style="1" customWidth="1"/>
    <col min="2301" max="2301" width="2.26953125" style="1" customWidth="1"/>
    <col min="2302" max="2308" width="1.7265625" style="1" customWidth="1"/>
    <col min="2309" max="2309" width="2.1796875" style="1" customWidth="1"/>
    <col min="2310" max="2310" width="2.26953125" style="1" customWidth="1"/>
    <col min="2311" max="2311" width="2.7265625" style="1" customWidth="1"/>
    <col min="2312" max="2522" width="11.453125" style="1"/>
    <col min="2523" max="2530" width="1.7265625" style="1" customWidth="1"/>
    <col min="2531" max="2531" width="2.26953125" style="1" customWidth="1"/>
    <col min="2532" max="2541" width="1.7265625" style="1" customWidth="1"/>
    <col min="2542" max="2542" width="1" style="1" customWidth="1"/>
    <col min="2543" max="2545" width="1.7265625" style="1" customWidth="1"/>
    <col min="2546" max="2546" width="2.26953125" style="1" customWidth="1"/>
    <col min="2547" max="2550" width="1.7265625" style="1" customWidth="1"/>
    <col min="2551" max="2551" width="1.81640625" style="1" customWidth="1"/>
    <col min="2552" max="2552" width="2.453125" style="1" customWidth="1"/>
    <col min="2553" max="2554" width="1.7265625" style="1" customWidth="1"/>
    <col min="2555" max="2555" width="2.453125" style="1" customWidth="1"/>
    <col min="2556" max="2556" width="3.1796875" style="1" customWidth="1"/>
    <col min="2557" max="2557" width="2.26953125" style="1" customWidth="1"/>
    <col min="2558" max="2564" width="1.7265625" style="1" customWidth="1"/>
    <col min="2565" max="2565" width="2.1796875" style="1" customWidth="1"/>
    <col min="2566" max="2566" width="2.26953125" style="1" customWidth="1"/>
    <col min="2567" max="2567" width="2.7265625" style="1" customWidth="1"/>
    <col min="2568" max="2778" width="11.453125" style="1"/>
    <col min="2779" max="2786" width="1.7265625" style="1" customWidth="1"/>
    <col min="2787" max="2787" width="2.26953125" style="1" customWidth="1"/>
    <col min="2788" max="2797" width="1.7265625" style="1" customWidth="1"/>
    <col min="2798" max="2798" width="1" style="1" customWidth="1"/>
    <col min="2799" max="2801" width="1.7265625" style="1" customWidth="1"/>
    <col min="2802" max="2802" width="2.26953125" style="1" customWidth="1"/>
    <col min="2803" max="2806" width="1.7265625" style="1" customWidth="1"/>
    <col min="2807" max="2807" width="1.81640625" style="1" customWidth="1"/>
    <col min="2808" max="2808" width="2.453125" style="1" customWidth="1"/>
    <col min="2809" max="2810" width="1.7265625" style="1" customWidth="1"/>
    <col min="2811" max="2811" width="2.453125" style="1" customWidth="1"/>
    <col min="2812" max="2812" width="3.1796875" style="1" customWidth="1"/>
    <col min="2813" max="2813" width="2.26953125" style="1" customWidth="1"/>
    <col min="2814" max="2820" width="1.7265625" style="1" customWidth="1"/>
    <col min="2821" max="2821" width="2.1796875" style="1" customWidth="1"/>
    <col min="2822" max="2822" width="2.26953125" style="1" customWidth="1"/>
    <col min="2823" max="2823" width="2.7265625" style="1" customWidth="1"/>
    <col min="2824" max="3034" width="11.453125" style="1"/>
    <col min="3035" max="3042" width="1.7265625" style="1" customWidth="1"/>
    <col min="3043" max="3043" width="2.26953125" style="1" customWidth="1"/>
    <col min="3044" max="3053" width="1.7265625" style="1" customWidth="1"/>
    <col min="3054" max="3054" width="1" style="1" customWidth="1"/>
    <col min="3055" max="3057" width="1.7265625" style="1" customWidth="1"/>
    <col min="3058" max="3058" width="2.26953125" style="1" customWidth="1"/>
    <col min="3059" max="3062" width="1.7265625" style="1" customWidth="1"/>
    <col min="3063" max="3063" width="1.81640625" style="1" customWidth="1"/>
    <col min="3064" max="3064" width="2.453125" style="1" customWidth="1"/>
    <col min="3065" max="3066" width="1.7265625" style="1" customWidth="1"/>
    <col min="3067" max="3067" width="2.453125" style="1" customWidth="1"/>
    <col min="3068" max="3068" width="3.1796875" style="1" customWidth="1"/>
    <col min="3069" max="3069" width="2.26953125" style="1" customWidth="1"/>
    <col min="3070" max="3076" width="1.7265625" style="1" customWidth="1"/>
    <col min="3077" max="3077" width="2.1796875" style="1" customWidth="1"/>
    <col min="3078" max="3078" width="2.26953125" style="1" customWidth="1"/>
    <col min="3079" max="3079" width="2.7265625" style="1" customWidth="1"/>
    <col min="3080" max="3290" width="11.453125" style="1"/>
    <col min="3291" max="3298" width="1.7265625" style="1" customWidth="1"/>
    <col min="3299" max="3299" width="2.26953125" style="1" customWidth="1"/>
    <col min="3300" max="3309" width="1.7265625" style="1" customWidth="1"/>
    <col min="3310" max="3310" width="1" style="1" customWidth="1"/>
    <col min="3311" max="3313" width="1.7265625" style="1" customWidth="1"/>
    <col min="3314" max="3314" width="2.26953125" style="1" customWidth="1"/>
    <col min="3315" max="3318" width="1.7265625" style="1" customWidth="1"/>
    <col min="3319" max="3319" width="1.81640625" style="1" customWidth="1"/>
    <col min="3320" max="3320" width="2.453125" style="1" customWidth="1"/>
    <col min="3321" max="3322" width="1.7265625" style="1" customWidth="1"/>
    <col min="3323" max="3323" width="2.453125" style="1" customWidth="1"/>
    <col min="3324" max="3324" width="3.1796875" style="1" customWidth="1"/>
    <col min="3325" max="3325" width="2.26953125" style="1" customWidth="1"/>
    <col min="3326" max="3332" width="1.7265625" style="1" customWidth="1"/>
    <col min="3333" max="3333" width="2.1796875" style="1" customWidth="1"/>
    <col min="3334" max="3334" width="2.26953125" style="1" customWidth="1"/>
    <col min="3335" max="3335" width="2.7265625" style="1" customWidth="1"/>
    <col min="3336" max="3546" width="11.453125" style="1"/>
    <col min="3547" max="3554" width="1.7265625" style="1" customWidth="1"/>
    <col min="3555" max="3555" width="2.26953125" style="1" customWidth="1"/>
    <col min="3556" max="3565" width="1.7265625" style="1" customWidth="1"/>
    <col min="3566" max="3566" width="1" style="1" customWidth="1"/>
    <col min="3567" max="3569" width="1.7265625" style="1" customWidth="1"/>
    <col min="3570" max="3570" width="2.26953125" style="1" customWidth="1"/>
    <col min="3571" max="3574" width="1.7265625" style="1" customWidth="1"/>
    <col min="3575" max="3575" width="1.81640625" style="1" customWidth="1"/>
    <col min="3576" max="3576" width="2.453125" style="1" customWidth="1"/>
    <col min="3577" max="3578" width="1.7265625" style="1" customWidth="1"/>
    <col min="3579" max="3579" width="2.453125" style="1" customWidth="1"/>
    <col min="3580" max="3580" width="3.1796875" style="1" customWidth="1"/>
    <col min="3581" max="3581" width="2.26953125" style="1" customWidth="1"/>
    <col min="3582" max="3588" width="1.7265625" style="1" customWidth="1"/>
    <col min="3589" max="3589" width="2.1796875" style="1" customWidth="1"/>
    <col min="3590" max="3590" width="2.26953125" style="1" customWidth="1"/>
    <col min="3591" max="3591" width="2.7265625" style="1" customWidth="1"/>
    <col min="3592" max="3802" width="11.453125" style="1"/>
    <col min="3803" max="3810" width="1.7265625" style="1" customWidth="1"/>
    <col min="3811" max="3811" width="2.26953125" style="1" customWidth="1"/>
    <col min="3812" max="3821" width="1.7265625" style="1" customWidth="1"/>
    <col min="3822" max="3822" width="1" style="1" customWidth="1"/>
    <col min="3823" max="3825" width="1.7265625" style="1" customWidth="1"/>
    <col min="3826" max="3826" width="2.26953125" style="1" customWidth="1"/>
    <col min="3827" max="3830" width="1.7265625" style="1" customWidth="1"/>
    <col min="3831" max="3831" width="1.81640625" style="1" customWidth="1"/>
    <col min="3832" max="3832" width="2.453125" style="1" customWidth="1"/>
    <col min="3833" max="3834" width="1.7265625" style="1" customWidth="1"/>
    <col min="3835" max="3835" width="2.453125" style="1" customWidth="1"/>
    <col min="3836" max="3836" width="3.1796875" style="1" customWidth="1"/>
    <col min="3837" max="3837" width="2.26953125" style="1" customWidth="1"/>
    <col min="3838" max="3844" width="1.7265625" style="1" customWidth="1"/>
    <col min="3845" max="3845" width="2.1796875" style="1" customWidth="1"/>
    <col min="3846" max="3846" width="2.26953125" style="1" customWidth="1"/>
    <col min="3847" max="3847" width="2.7265625" style="1" customWidth="1"/>
    <col min="3848" max="4058" width="11.453125" style="1"/>
    <col min="4059" max="4066" width="1.7265625" style="1" customWidth="1"/>
    <col min="4067" max="4067" width="2.26953125" style="1" customWidth="1"/>
    <col min="4068" max="4077" width="1.7265625" style="1" customWidth="1"/>
    <col min="4078" max="4078" width="1" style="1" customWidth="1"/>
    <col min="4079" max="4081" width="1.7265625" style="1" customWidth="1"/>
    <col min="4082" max="4082" width="2.26953125" style="1" customWidth="1"/>
    <col min="4083" max="4086" width="1.7265625" style="1" customWidth="1"/>
    <col min="4087" max="4087" width="1.81640625" style="1" customWidth="1"/>
    <col min="4088" max="4088" width="2.453125" style="1" customWidth="1"/>
    <col min="4089" max="4090" width="1.7265625" style="1" customWidth="1"/>
    <col min="4091" max="4091" width="2.453125" style="1" customWidth="1"/>
    <col min="4092" max="4092" width="3.1796875" style="1" customWidth="1"/>
    <col min="4093" max="4093" width="2.26953125" style="1" customWidth="1"/>
    <col min="4094" max="4100" width="1.7265625" style="1" customWidth="1"/>
    <col min="4101" max="4101" width="2.1796875" style="1" customWidth="1"/>
    <col min="4102" max="4102" width="2.26953125" style="1" customWidth="1"/>
    <col min="4103" max="4103" width="2.7265625" style="1" customWidth="1"/>
    <col min="4104" max="4314" width="11.453125" style="1"/>
    <col min="4315" max="4322" width="1.7265625" style="1" customWidth="1"/>
    <col min="4323" max="4323" width="2.26953125" style="1" customWidth="1"/>
    <col min="4324" max="4333" width="1.7265625" style="1" customWidth="1"/>
    <col min="4334" max="4334" width="1" style="1" customWidth="1"/>
    <col min="4335" max="4337" width="1.7265625" style="1" customWidth="1"/>
    <col min="4338" max="4338" width="2.26953125" style="1" customWidth="1"/>
    <col min="4339" max="4342" width="1.7265625" style="1" customWidth="1"/>
    <col min="4343" max="4343" width="1.81640625" style="1" customWidth="1"/>
    <col min="4344" max="4344" width="2.453125" style="1" customWidth="1"/>
    <col min="4345" max="4346" width="1.7265625" style="1" customWidth="1"/>
    <col min="4347" max="4347" width="2.453125" style="1" customWidth="1"/>
    <col min="4348" max="4348" width="3.1796875" style="1" customWidth="1"/>
    <col min="4349" max="4349" width="2.26953125" style="1" customWidth="1"/>
    <col min="4350" max="4356" width="1.7265625" style="1" customWidth="1"/>
    <col min="4357" max="4357" width="2.1796875" style="1" customWidth="1"/>
    <col min="4358" max="4358" width="2.26953125" style="1" customWidth="1"/>
    <col min="4359" max="4359" width="2.7265625" style="1" customWidth="1"/>
    <col min="4360" max="4570" width="11.453125" style="1"/>
    <col min="4571" max="4578" width="1.7265625" style="1" customWidth="1"/>
    <col min="4579" max="4579" width="2.26953125" style="1" customWidth="1"/>
    <col min="4580" max="4589" width="1.7265625" style="1" customWidth="1"/>
    <col min="4590" max="4590" width="1" style="1" customWidth="1"/>
    <col min="4591" max="4593" width="1.7265625" style="1" customWidth="1"/>
    <col min="4594" max="4594" width="2.26953125" style="1" customWidth="1"/>
    <col min="4595" max="4598" width="1.7265625" style="1" customWidth="1"/>
    <col min="4599" max="4599" width="1.81640625" style="1" customWidth="1"/>
    <col min="4600" max="4600" width="2.453125" style="1" customWidth="1"/>
    <col min="4601" max="4602" width="1.7265625" style="1" customWidth="1"/>
    <col min="4603" max="4603" width="2.453125" style="1" customWidth="1"/>
    <col min="4604" max="4604" width="3.1796875" style="1" customWidth="1"/>
    <col min="4605" max="4605" width="2.26953125" style="1" customWidth="1"/>
    <col min="4606" max="4612" width="1.7265625" style="1" customWidth="1"/>
    <col min="4613" max="4613" width="2.1796875" style="1" customWidth="1"/>
    <col min="4614" max="4614" width="2.26953125" style="1" customWidth="1"/>
    <col min="4615" max="4615" width="2.7265625" style="1" customWidth="1"/>
    <col min="4616" max="4826" width="11.453125" style="1"/>
    <col min="4827" max="4834" width="1.7265625" style="1" customWidth="1"/>
    <col min="4835" max="4835" width="2.26953125" style="1" customWidth="1"/>
    <col min="4836" max="4845" width="1.7265625" style="1" customWidth="1"/>
    <col min="4846" max="4846" width="1" style="1" customWidth="1"/>
    <col min="4847" max="4849" width="1.7265625" style="1" customWidth="1"/>
    <col min="4850" max="4850" width="2.26953125" style="1" customWidth="1"/>
    <col min="4851" max="4854" width="1.7265625" style="1" customWidth="1"/>
    <col min="4855" max="4855" width="1.81640625" style="1" customWidth="1"/>
    <col min="4856" max="4856" width="2.453125" style="1" customWidth="1"/>
    <col min="4857" max="4858" width="1.7265625" style="1" customWidth="1"/>
    <col min="4859" max="4859" width="2.453125" style="1" customWidth="1"/>
    <col min="4860" max="4860" width="3.1796875" style="1" customWidth="1"/>
    <col min="4861" max="4861" width="2.26953125" style="1" customWidth="1"/>
    <col min="4862" max="4868" width="1.7265625" style="1" customWidth="1"/>
    <col min="4869" max="4869" width="2.1796875" style="1" customWidth="1"/>
    <col min="4870" max="4870" width="2.26953125" style="1" customWidth="1"/>
    <col min="4871" max="4871" width="2.7265625" style="1" customWidth="1"/>
    <col min="4872" max="5082" width="11.453125" style="1"/>
    <col min="5083" max="5090" width="1.7265625" style="1" customWidth="1"/>
    <col min="5091" max="5091" width="2.26953125" style="1" customWidth="1"/>
    <col min="5092" max="5101" width="1.7265625" style="1" customWidth="1"/>
    <col min="5102" max="5102" width="1" style="1" customWidth="1"/>
    <col min="5103" max="5105" width="1.7265625" style="1" customWidth="1"/>
    <col min="5106" max="5106" width="2.26953125" style="1" customWidth="1"/>
    <col min="5107" max="5110" width="1.7265625" style="1" customWidth="1"/>
    <col min="5111" max="5111" width="1.81640625" style="1" customWidth="1"/>
    <col min="5112" max="5112" width="2.453125" style="1" customWidth="1"/>
    <col min="5113" max="5114" width="1.7265625" style="1" customWidth="1"/>
    <col min="5115" max="5115" width="2.453125" style="1" customWidth="1"/>
    <col min="5116" max="5116" width="3.1796875" style="1" customWidth="1"/>
    <col min="5117" max="5117" width="2.26953125" style="1" customWidth="1"/>
    <col min="5118" max="5124" width="1.7265625" style="1" customWidth="1"/>
    <col min="5125" max="5125" width="2.1796875" style="1" customWidth="1"/>
    <col min="5126" max="5126" width="2.26953125" style="1" customWidth="1"/>
    <col min="5127" max="5127" width="2.7265625" style="1" customWidth="1"/>
    <col min="5128" max="5338" width="11.453125" style="1"/>
    <col min="5339" max="5346" width="1.7265625" style="1" customWidth="1"/>
    <col min="5347" max="5347" width="2.26953125" style="1" customWidth="1"/>
    <col min="5348" max="5357" width="1.7265625" style="1" customWidth="1"/>
    <col min="5358" max="5358" width="1" style="1" customWidth="1"/>
    <col min="5359" max="5361" width="1.7265625" style="1" customWidth="1"/>
    <col min="5362" max="5362" width="2.26953125" style="1" customWidth="1"/>
    <col min="5363" max="5366" width="1.7265625" style="1" customWidth="1"/>
    <col min="5367" max="5367" width="1.81640625" style="1" customWidth="1"/>
    <col min="5368" max="5368" width="2.453125" style="1" customWidth="1"/>
    <col min="5369" max="5370" width="1.7265625" style="1" customWidth="1"/>
    <col min="5371" max="5371" width="2.453125" style="1" customWidth="1"/>
    <col min="5372" max="5372" width="3.1796875" style="1" customWidth="1"/>
    <col min="5373" max="5373" width="2.26953125" style="1" customWidth="1"/>
    <col min="5374" max="5380" width="1.7265625" style="1" customWidth="1"/>
    <col min="5381" max="5381" width="2.1796875" style="1" customWidth="1"/>
    <col min="5382" max="5382" width="2.26953125" style="1" customWidth="1"/>
    <col min="5383" max="5383" width="2.7265625" style="1" customWidth="1"/>
    <col min="5384" max="5594" width="11.453125" style="1"/>
    <col min="5595" max="5602" width="1.7265625" style="1" customWidth="1"/>
    <col min="5603" max="5603" width="2.26953125" style="1" customWidth="1"/>
    <col min="5604" max="5613" width="1.7265625" style="1" customWidth="1"/>
    <col min="5614" max="5614" width="1" style="1" customWidth="1"/>
    <col min="5615" max="5617" width="1.7265625" style="1" customWidth="1"/>
    <col min="5618" max="5618" width="2.26953125" style="1" customWidth="1"/>
    <col min="5619" max="5622" width="1.7265625" style="1" customWidth="1"/>
    <col min="5623" max="5623" width="1.81640625" style="1" customWidth="1"/>
    <col min="5624" max="5624" width="2.453125" style="1" customWidth="1"/>
    <col min="5625" max="5626" width="1.7265625" style="1" customWidth="1"/>
    <col min="5627" max="5627" width="2.453125" style="1" customWidth="1"/>
    <col min="5628" max="5628" width="3.1796875" style="1" customWidth="1"/>
    <col min="5629" max="5629" width="2.26953125" style="1" customWidth="1"/>
    <col min="5630" max="5636" width="1.7265625" style="1" customWidth="1"/>
    <col min="5637" max="5637" width="2.1796875" style="1" customWidth="1"/>
    <col min="5638" max="5638" width="2.26953125" style="1" customWidth="1"/>
    <col min="5639" max="5639" width="2.7265625" style="1" customWidth="1"/>
    <col min="5640" max="5850" width="11.453125" style="1"/>
    <col min="5851" max="5858" width="1.7265625" style="1" customWidth="1"/>
    <col min="5859" max="5859" width="2.26953125" style="1" customWidth="1"/>
    <col min="5860" max="5869" width="1.7265625" style="1" customWidth="1"/>
    <col min="5870" max="5870" width="1" style="1" customWidth="1"/>
    <col min="5871" max="5873" width="1.7265625" style="1" customWidth="1"/>
    <col min="5874" max="5874" width="2.26953125" style="1" customWidth="1"/>
    <col min="5875" max="5878" width="1.7265625" style="1" customWidth="1"/>
    <col min="5879" max="5879" width="1.81640625" style="1" customWidth="1"/>
    <col min="5880" max="5880" width="2.453125" style="1" customWidth="1"/>
    <col min="5881" max="5882" width="1.7265625" style="1" customWidth="1"/>
    <col min="5883" max="5883" width="2.453125" style="1" customWidth="1"/>
    <col min="5884" max="5884" width="3.1796875" style="1" customWidth="1"/>
    <col min="5885" max="5885" width="2.26953125" style="1" customWidth="1"/>
    <col min="5886" max="5892" width="1.7265625" style="1" customWidth="1"/>
    <col min="5893" max="5893" width="2.1796875" style="1" customWidth="1"/>
    <col min="5894" max="5894" width="2.26953125" style="1" customWidth="1"/>
    <col min="5895" max="5895" width="2.7265625" style="1" customWidth="1"/>
    <col min="5896" max="6106" width="11.453125" style="1"/>
    <col min="6107" max="6114" width="1.7265625" style="1" customWidth="1"/>
    <col min="6115" max="6115" width="2.26953125" style="1" customWidth="1"/>
    <col min="6116" max="6125" width="1.7265625" style="1" customWidth="1"/>
    <col min="6126" max="6126" width="1" style="1" customWidth="1"/>
    <col min="6127" max="6129" width="1.7265625" style="1" customWidth="1"/>
    <col min="6130" max="6130" width="2.26953125" style="1" customWidth="1"/>
    <col min="6131" max="6134" width="1.7265625" style="1" customWidth="1"/>
    <col min="6135" max="6135" width="1.81640625" style="1" customWidth="1"/>
    <col min="6136" max="6136" width="2.453125" style="1" customWidth="1"/>
    <col min="6137" max="6138" width="1.7265625" style="1" customWidth="1"/>
    <col min="6139" max="6139" width="2.453125" style="1" customWidth="1"/>
    <col min="6140" max="6140" width="3.1796875" style="1" customWidth="1"/>
    <col min="6141" max="6141" width="2.26953125" style="1" customWidth="1"/>
    <col min="6142" max="6148" width="1.7265625" style="1" customWidth="1"/>
    <col min="6149" max="6149" width="2.1796875" style="1" customWidth="1"/>
    <col min="6150" max="6150" width="2.26953125" style="1" customWidth="1"/>
    <col min="6151" max="6151" width="2.7265625" style="1" customWidth="1"/>
    <col min="6152" max="6362" width="11.453125" style="1"/>
    <col min="6363" max="6370" width="1.7265625" style="1" customWidth="1"/>
    <col min="6371" max="6371" width="2.26953125" style="1" customWidth="1"/>
    <col min="6372" max="6381" width="1.7265625" style="1" customWidth="1"/>
    <col min="6382" max="6382" width="1" style="1" customWidth="1"/>
    <col min="6383" max="6385" width="1.7265625" style="1" customWidth="1"/>
    <col min="6386" max="6386" width="2.26953125" style="1" customWidth="1"/>
    <col min="6387" max="6390" width="1.7265625" style="1" customWidth="1"/>
    <col min="6391" max="6391" width="1.81640625" style="1" customWidth="1"/>
    <col min="6392" max="6392" width="2.453125" style="1" customWidth="1"/>
    <col min="6393" max="6394" width="1.7265625" style="1" customWidth="1"/>
    <col min="6395" max="6395" width="2.453125" style="1" customWidth="1"/>
    <col min="6396" max="6396" width="3.1796875" style="1" customWidth="1"/>
    <col min="6397" max="6397" width="2.26953125" style="1" customWidth="1"/>
    <col min="6398" max="6404" width="1.7265625" style="1" customWidth="1"/>
    <col min="6405" max="6405" width="2.1796875" style="1" customWidth="1"/>
    <col min="6406" max="6406" width="2.26953125" style="1" customWidth="1"/>
    <col min="6407" max="6407" width="2.7265625" style="1" customWidth="1"/>
    <col min="6408" max="6618" width="11.453125" style="1"/>
    <col min="6619" max="6626" width="1.7265625" style="1" customWidth="1"/>
    <col min="6627" max="6627" width="2.26953125" style="1" customWidth="1"/>
    <col min="6628" max="6637" width="1.7265625" style="1" customWidth="1"/>
    <col min="6638" max="6638" width="1" style="1" customWidth="1"/>
    <col min="6639" max="6641" width="1.7265625" style="1" customWidth="1"/>
    <col min="6642" max="6642" width="2.26953125" style="1" customWidth="1"/>
    <col min="6643" max="6646" width="1.7265625" style="1" customWidth="1"/>
    <col min="6647" max="6647" width="1.81640625" style="1" customWidth="1"/>
    <col min="6648" max="6648" width="2.453125" style="1" customWidth="1"/>
    <col min="6649" max="6650" width="1.7265625" style="1" customWidth="1"/>
    <col min="6651" max="6651" width="2.453125" style="1" customWidth="1"/>
    <col min="6652" max="6652" width="3.1796875" style="1" customWidth="1"/>
    <col min="6653" max="6653" width="2.26953125" style="1" customWidth="1"/>
    <col min="6654" max="6660" width="1.7265625" style="1" customWidth="1"/>
    <col min="6661" max="6661" width="2.1796875" style="1" customWidth="1"/>
    <col min="6662" max="6662" width="2.26953125" style="1" customWidth="1"/>
    <col min="6663" max="6663" width="2.7265625" style="1" customWidth="1"/>
    <col min="6664" max="6874" width="11.453125" style="1"/>
    <col min="6875" max="6882" width="1.7265625" style="1" customWidth="1"/>
    <col min="6883" max="6883" width="2.26953125" style="1" customWidth="1"/>
    <col min="6884" max="6893" width="1.7265625" style="1" customWidth="1"/>
    <col min="6894" max="6894" width="1" style="1" customWidth="1"/>
    <col min="6895" max="6897" width="1.7265625" style="1" customWidth="1"/>
    <col min="6898" max="6898" width="2.26953125" style="1" customWidth="1"/>
    <col min="6899" max="6902" width="1.7265625" style="1" customWidth="1"/>
    <col min="6903" max="6903" width="1.81640625" style="1" customWidth="1"/>
    <col min="6904" max="6904" width="2.453125" style="1" customWidth="1"/>
    <col min="6905" max="6906" width="1.7265625" style="1" customWidth="1"/>
    <col min="6907" max="6907" width="2.453125" style="1" customWidth="1"/>
    <col min="6908" max="6908" width="3.1796875" style="1" customWidth="1"/>
    <col min="6909" max="6909" width="2.26953125" style="1" customWidth="1"/>
    <col min="6910" max="6916" width="1.7265625" style="1" customWidth="1"/>
    <col min="6917" max="6917" width="2.1796875" style="1" customWidth="1"/>
    <col min="6918" max="6918" width="2.26953125" style="1" customWidth="1"/>
    <col min="6919" max="6919" width="2.7265625" style="1" customWidth="1"/>
    <col min="6920" max="7130" width="11.453125" style="1"/>
    <col min="7131" max="7138" width="1.7265625" style="1" customWidth="1"/>
    <col min="7139" max="7139" width="2.26953125" style="1" customWidth="1"/>
    <col min="7140" max="7149" width="1.7265625" style="1" customWidth="1"/>
    <col min="7150" max="7150" width="1" style="1" customWidth="1"/>
    <col min="7151" max="7153" width="1.7265625" style="1" customWidth="1"/>
    <col min="7154" max="7154" width="2.26953125" style="1" customWidth="1"/>
    <col min="7155" max="7158" width="1.7265625" style="1" customWidth="1"/>
    <col min="7159" max="7159" width="1.81640625" style="1" customWidth="1"/>
    <col min="7160" max="7160" width="2.453125" style="1" customWidth="1"/>
    <col min="7161" max="7162" width="1.7265625" style="1" customWidth="1"/>
    <col min="7163" max="7163" width="2.453125" style="1" customWidth="1"/>
    <col min="7164" max="7164" width="3.1796875" style="1" customWidth="1"/>
    <col min="7165" max="7165" width="2.26953125" style="1" customWidth="1"/>
    <col min="7166" max="7172" width="1.7265625" style="1" customWidth="1"/>
    <col min="7173" max="7173" width="2.1796875" style="1" customWidth="1"/>
    <col min="7174" max="7174" width="2.26953125" style="1" customWidth="1"/>
    <col min="7175" max="7175" width="2.7265625" style="1" customWidth="1"/>
    <col min="7176" max="7386" width="11.453125" style="1"/>
    <col min="7387" max="7394" width="1.7265625" style="1" customWidth="1"/>
    <col min="7395" max="7395" width="2.26953125" style="1" customWidth="1"/>
    <col min="7396" max="7405" width="1.7265625" style="1" customWidth="1"/>
    <col min="7406" max="7406" width="1" style="1" customWidth="1"/>
    <col min="7407" max="7409" width="1.7265625" style="1" customWidth="1"/>
    <col min="7410" max="7410" width="2.26953125" style="1" customWidth="1"/>
    <col min="7411" max="7414" width="1.7265625" style="1" customWidth="1"/>
    <col min="7415" max="7415" width="1.81640625" style="1" customWidth="1"/>
    <col min="7416" max="7416" width="2.453125" style="1" customWidth="1"/>
    <col min="7417" max="7418" width="1.7265625" style="1" customWidth="1"/>
    <col min="7419" max="7419" width="2.453125" style="1" customWidth="1"/>
    <col min="7420" max="7420" width="3.1796875" style="1" customWidth="1"/>
    <col min="7421" max="7421" width="2.26953125" style="1" customWidth="1"/>
    <col min="7422" max="7428" width="1.7265625" style="1" customWidth="1"/>
    <col min="7429" max="7429" width="2.1796875" style="1" customWidth="1"/>
    <col min="7430" max="7430" width="2.26953125" style="1" customWidth="1"/>
    <col min="7431" max="7431" width="2.7265625" style="1" customWidth="1"/>
    <col min="7432" max="7642" width="11.453125" style="1"/>
    <col min="7643" max="7650" width="1.7265625" style="1" customWidth="1"/>
    <col min="7651" max="7651" width="2.26953125" style="1" customWidth="1"/>
    <col min="7652" max="7661" width="1.7265625" style="1" customWidth="1"/>
    <col min="7662" max="7662" width="1" style="1" customWidth="1"/>
    <col min="7663" max="7665" width="1.7265625" style="1" customWidth="1"/>
    <col min="7666" max="7666" width="2.26953125" style="1" customWidth="1"/>
    <col min="7667" max="7670" width="1.7265625" style="1" customWidth="1"/>
    <col min="7671" max="7671" width="1.81640625" style="1" customWidth="1"/>
    <col min="7672" max="7672" width="2.453125" style="1" customWidth="1"/>
    <col min="7673" max="7674" width="1.7265625" style="1" customWidth="1"/>
    <col min="7675" max="7675" width="2.453125" style="1" customWidth="1"/>
    <col min="7676" max="7676" width="3.1796875" style="1" customWidth="1"/>
    <col min="7677" max="7677" width="2.26953125" style="1" customWidth="1"/>
    <col min="7678" max="7684" width="1.7265625" style="1" customWidth="1"/>
    <col min="7685" max="7685" width="2.1796875" style="1" customWidth="1"/>
    <col min="7686" max="7686" width="2.26953125" style="1" customWidth="1"/>
    <col min="7687" max="7687" width="2.7265625" style="1" customWidth="1"/>
    <col min="7688" max="7898" width="11.453125" style="1"/>
    <col min="7899" max="7906" width="1.7265625" style="1" customWidth="1"/>
    <col min="7907" max="7907" width="2.26953125" style="1" customWidth="1"/>
    <col min="7908" max="7917" width="1.7265625" style="1" customWidth="1"/>
    <col min="7918" max="7918" width="1" style="1" customWidth="1"/>
    <col min="7919" max="7921" width="1.7265625" style="1" customWidth="1"/>
    <col min="7922" max="7922" width="2.26953125" style="1" customWidth="1"/>
    <col min="7923" max="7926" width="1.7265625" style="1" customWidth="1"/>
    <col min="7927" max="7927" width="1.81640625" style="1" customWidth="1"/>
    <col min="7928" max="7928" width="2.453125" style="1" customWidth="1"/>
    <col min="7929" max="7930" width="1.7265625" style="1" customWidth="1"/>
    <col min="7931" max="7931" width="2.453125" style="1" customWidth="1"/>
    <col min="7932" max="7932" width="3.1796875" style="1" customWidth="1"/>
    <col min="7933" max="7933" width="2.26953125" style="1" customWidth="1"/>
    <col min="7934" max="7940" width="1.7265625" style="1" customWidth="1"/>
    <col min="7941" max="7941" width="2.1796875" style="1" customWidth="1"/>
    <col min="7942" max="7942" width="2.26953125" style="1" customWidth="1"/>
    <col min="7943" max="7943" width="2.7265625" style="1" customWidth="1"/>
    <col min="7944" max="8154" width="11.453125" style="1"/>
    <col min="8155" max="8162" width="1.7265625" style="1" customWidth="1"/>
    <col min="8163" max="8163" width="2.26953125" style="1" customWidth="1"/>
    <col min="8164" max="8173" width="1.7265625" style="1" customWidth="1"/>
    <col min="8174" max="8174" width="1" style="1" customWidth="1"/>
    <col min="8175" max="8177" width="1.7265625" style="1" customWidth="1"/>
    <col min="8178" max="8178" width="2.26953125" style="1" customWidth="1"/>
    <col min="8179" max="8182" width="1.7265625" style="1" customWidth="1"/>
    <col min="8183" max="8183" width="1.81640625" style="1" customWidth="1"/>
    <col min="8184" max="8184" width="2.453125" style="1" customWidth="1"/>
    <col min="8185" max="8186" width="1.7265625" style="1" customWidth="1"/>
    <col min="8187" max="8187" width="2.453125" style="1" customWidth="1"/>
    <col min="8188" max="8188" width="3.1796875" style="1" customWidth="1"/>
    <col min="8189" max="8189" width="2.26953125" style="1" customWidth="1"/>
    <col min="8190" max="8196" width="1.7265625" style="1" customWidth="1"/>
    <col min="8197" max="8197" width="2.1796875" style="1" customWidth="1"/>
    <col min="8198" max="8198" width="2.26953125" style="1" customWidth="1"/>
    <col min="8199" max="8199" width="2.7265625" style="1" customWidth="1"/>
    <col min="8200" max="8410" width="11.453125" style="1"/>
    <col min="8411" max="8418" width="1.7265625" style="1" customWidth="1"/>
    <col min="8419" max="8419" width="2.26953125" style="1" customWidth="1"/>
    <col min="8420" max="8429" width="1.7265625" style="1" customWidth="1"/>
    <col min="8430" max="8430" width="1" style="1" customWidth="1"/>
    <col min="8431" max="8433" width="1.7265625" style="1" customWidth="1"/>
    <col min="8434" max="8434" width="2.26953125" style="1" customWidth="1"/>
    <col min="8435" max="8438" width="1.7265625" style="1" customWidth="1"/>
    <col min="8439" max="8439" width="1.81640625" style="1" customWidth="1"/>
    <col min="8440" max="8440" width="2.453125" style="1" customWidth="1"/>
    <col min="8441" max="8442" width="1.7265625" style="1" customWidth="1"/>
    <col min="8443" max="8443" width="2.453125" style="1" customWidth="1"/>
    <col min="8444" max="8444" width="3.1796875" style="1" customWidth="1"/>
    <col min="8445" max="8445" width="2.26953125" style="1" customWidth="1"/>
    <col min="8446" max="8452" width="1.7265625" style="1" customWidth="1"/>
    <col min="8453" max="8453" width="2.1796875" style="1" customWidth="1"/>
    <col min="8454" max="8454" width="2.26953125" style="1" customWidth="1"/>
    <col min="8455" max="8455" width="2.7265625" style="1" customWidth="1"/>
    <col min="8456" max="8666" width="11.453125" style="1"/>
    <col min="8667" max="8674" width="1.7265625" style="1" customWidth="1"/>
    <col min="8675" max="8675" width="2.26953125" style="1" customWidth="1"/>
    <col min="8676" max="8685" width="1.7265625" style="1" customWidth="1"/>
    <col min="8686" max="8686" width="1" style="1" customWidth="1"/>
    <col min="8687" max="8689" width="1.7265625" style="1" customWidth="1"/>
    <col min="8690" max="8690" width="2.26953125" style="1" customWidth="1"/>
    <col min="8691" max="8694" width="1.7265625" style="1" customWidth="1"/>
    <col min="8695" max="8695" width="1.81640625" style="1" customWidth="1"/>
    <col min="8696" max="8696" width="2.453125" style="1" customWidth="1"/>
    <col min="8697" max="8698" width="1.7265625" style="1" customWidth="1"/>
    <col min="8699" max="8699" width="2.453125" style="1" customWidth="1"/>
    <col min="8700" max="8700" width="3.1796875" style="1" customWidth="1"/>
    <col min="8701" max="8701" width="2.26953125" style="1" customWidth="1"/>
    <col min="8702" max="8708" width="1.7265625" style="1" customWidth="1"/>
    <col min="8709" max="8709" width="2.1796875" style="1" customWidth="1"/>
    <col min="8710" max="8710" width="2.26953125" style="1" customWidth="1"/>
    <col min="8711" max="8711" width="2.7265625" style="1" customWidth="1"/>
    <col min="8712" max="8922" width="11.453125" style="1"/>
    <col min="8923" max="8930" width="1.7265625" style="1" customWidth="1"/>
    <col min="8931" max="8931" width="2.26953125" style="1" customWidth="1"/>
    <col min="8932" max="8941" width="1.7265625" style="1" customWidth="1"/>
    <col min="8942" max="8942" width="1" style="1" customWidth="1"/>
    <col min="8943" max="8945" width="1.7265625" style="1" customWidth="1"/>
    <col min="8946" max="8946" width="2.26953125" style="1" customWidth="1"/>
    <col min="8947" max="8950" width="1.7265625" style="1" customWidth="1"/>
    <col min="8951" max="8951" width="1.81640625" style="1" customWidth="1"/>
    <col min="8952" max="8952" width="2.453125" style="1" customWidth="1"/>
    <col min="8953" max="8954" width="1.7265625" style="1" customWidth="1"/>
    <col min="8955" max="8955" width="2.453125" style="1" customWidth="1"/>
    <col min="8956" max="8956" width="3.1796875" style="1" customWidth="1"/>
    <col min="8957" max="8957" width="2.26953125" style="1" customWidth="1"/>
    <col min="8958" max="8964" width="1.7265625" style="1" customWidth="1"/>
    <col min="8965" max="8965" width="2.1796875" style="1" customWidth="1"/>
    <col min="8966" max="8966" width="2.26953125" style="1" customWidth="1"/>
    <col min="8967" max="8967" width="2.7265625" style="1" customWidth="1"/>
    <col min="8968" max="9178" width="11.453125" style="1"/>
    <col min="9179" max="9186" width="1.7265625" style="1" customWidth="1"/>
    <col min="9187" max="9187" width="2.26953125" style="1" customWidth="1"/>
    <col min="9188" max="9197" width="1.7265625" style="1" customWidth="1"/>
    <col min="9198" max="9198" width="1" style="1" customWidth="1"/>
    <col min="9199" max="9201" width="1.7265625" style="1" customWidth="1"/>
    <col min="9202" max="9202" width="2.26953125" style="1" customWidth="1"/>
    <col min="9203" max="9206" width="1.7265625" style="1" customWidth="1"/>
    <col min="9207" max="9207" width="1.81640625" style="1" customWidth="1"/>
    <col min="9208" max="9208" width="2.453125" style="1" customWidth="1"/>
    <col min="9209" max="9210" width="1.7265625" style="1" customWidth="1"/>
    <col min="9211" max="9211" width="2.453125" style="1" customWidth="1"/>
    <col min="9212" max="9212" width="3.1796875" style="1" customWidth="1"/>
    <col min="9213" max="9213" width="2.26953125" style="1" customWidth="1"/>
    <col min="9214" max="9220" width="1.7265625" style="1" customWidth="1"/>
    <col min="9221" max="9221" width="2.1796875" style="1" customWidth="1"/>
    <col min="9222" max="9222" width="2.26953125" style="1" customWidth="1"/>
    <col min="9223" max="9223" width="2.7265625" style="1" customWidth="1"/>
    <col min="9224" max="9434" width="11.453125" style="1"/>
    <col min="9435" max="9442" width="1.7265625" style="1" customWidth="1"/>
    <col min="9443" max="9443" width="2.26953125" style="1" customWidth="1"/>
    <col min="9444" max="9453" width="1.7265625" style="1" customWidth="1"/>
    <col min="9454" max="9454" width="1" style="1" customWidth="1"/>
    <col min="9455" max="9457" width="1.7265625" style="1" customWidth="1"/>
    <col min="9458" max="9458" width="2.26953125" style="1" customWidth="1"/>
    <col min="9459" max="9462" width="1.7265625" style="1" customWidth="1"/>
    <col min="9463" max="9463" width="1.81640625" style="1" customWidth="1"/>
    <col min="9464" max="9464" width="2.453125" style="1" customWidth="1"/>
    <col min="9465" max="9466" width="1.7265625" style="1" customWidth="1"/>
    <col min="9467" max="9467" width="2.453125" style="1" customWidth="1"/>
    <col min="9468" max="9468" width="3.1796875" style="1" customWidth="1"/>
    <col min="9469" max="9469" width="2.26953125" style="1" customWidth="1"/>
    <col min="9470" max="9476" width="1.7265625" style="1" customWidth="1"/>
    <col min="9477" max="9477" width="2.1796875" style="1" customWidth="1"/>
    <col min="9478" max="9478" width="2.26953125" style="1" customWidth="1"/>
    <col min="9479" max="9479" width="2.7265625" style="1" customWidth="1"/>
    <col min="9480" max="9690" width="11.453125" style="1"/>
    <col min="9691" max="9698" width="1.7265625" style="1" customWidth="1"/>
    <col min="9699" max="9699" width="2.26953125" style="1" customWidth="1"/>
    <col min="9700" max="9709" width="1.7265625" style="1" customWidth="1"/>
    <col min="9710" max="9710" width="1" style="1" customWidth="1"/>
    <col min="9711" max="9713" width="1.7265625" style="1" customWidth="1"/>
    <col min="9714" max="9714" width="2.26953125" style="1" customWidth="1"/>
    <col min="9715" max="9718" width="1.7265625" style="1" customWidth="1"/>
    <col min="9719" max="9719" width="1.81640625" style="1" customWidth="1"/>
    <col min="9720" max="9720" width="2.453125" style="1" customWidth="1"/>
    <col min="9721" max="9722" width="1.7265625" style="1" customWidth="1"/>
    <col min="9723" max="9723" width="2.453125" style="1" customWidth="1"/>
    <col min="9724" max="9724" width="3.1796875" style="1" customWidth="1"/>
    <col min="9725" max="9725" width="2.26953125" style="1" customWidth="1"/>
    <col min="9726" max="9732" width="1.7265625" style="1" customWidth="1"/>
    <col min="9733" max="9733" width="2.1796875" style="1" customWidth="1"/>
    <col min="9734" max="9734" width="2.26953125" style="1" customWidth="1"/>
    <col min="9735" max="9735" width="2.7265625" style="1" customWidth="1"/>
    <col min="9736" max="9946" width="11.453125" style="1"/>
    <col min="9947" max="9954" width="1.7265625" style="1" customWidth="1"/>
    <col min="9955" max="9955" width="2.26953125" style="1" customWidth="1"/>
    <col min="9956" max="9965" width="1.7265625" style="1" customWidth="1"/>
    <col min="9966" max="9966" width="1" style="1" customWidth="1"/>
    <col min="9967" max="9969" width="1.7265625" style="1" customWidth="1"/>
    <col min="9970" max="9970" width="2.26953125" style="1" customWidth="1"/>
    <col min="9971" max="9974" width="1.7265625" style="1" customWidth="1"/>
    <col min="9975" max="9975" width="1.81640625" style="1" customWidth="1"/>
    <col min="9976" max="9976" width="2.453125" style="1" customWidth="1"/>
    <col min="9977" max="9978" width="1.7265625" style="1" customWidth="1"/>
    <col min="9979" max="9979" width="2.453125" style="1" customWidth="1"/>
    <col min="9980" max="9980" width="3.1796875" style="1" customWidth="1"/>
    <col min="9981" max="9981" width="2.26953125" style="1" customWidth="1"/>
    <col min="9982" max="9988" width="1.7265625" style="1" customWidth="1"/>
    <col min="9989" max="9989" width="2.1796875" style="1" customWidth="1"/>
    <col min="9990" max="9990" width="2.26953125" style="1" customWidth="1"/>
    <col min="9991" max="9991" width="2.7265625" style="1" customWidth="1"/>
    <col min="9992" max="10202" width="11.453125" style="1"/>
    <col min="10203" max="10210" width="1.7265625" style="1" customWidth="1"/>
    <col min="10211" max="10211" width="2.26953125" style="1" customWidth="1"/>
    <col min="10212" max="10221" width="1.7265625" style="1" customWidth="1"/>
    <col min="10222" max="10222" width="1" style="1" customWidth="1"/>
    <col min="10223" max="10225" width="1.7265625" style="1" customWidth="1"/>
    <col min="10226" max="10226" width="2.26953125" style="1" customWidth="1"/>
    <col min="10227" max="10230" width="1.7265625" style="1" customWidth="1"/>
    <col min="10231" max="10231" width="1.81640625" style="1" customWidth="1"/>
    <col min="10232" max="10232" width="2.453125" style="1" customWidth="1"/>
    <col min="10233" max="10234" width="1.7265625" style="1" customWidth="1"/>
    <col min="10235" max="10235" width="2.453125" style="1" customWidth="1"/>
    <col min="10236" max="10236" width="3.1796875" style="1" customWidth="1"/>
    <col min="10237" max="10237" width="2.26953125" style="1" customWidth="1"/>
    <col min="10238" max="10244" width="1.7265625" style="1" customWidth="1"/>
    <col min="10245" max="10245" width="2.1796875" style="1" customWidth="1"/>
    <col min="10246" max="10246" width="2.26953125" style="1" customWidth="1"/>
    <col min="10247" max="10247" width="2.7265625" style="1" customWidth="1"/>
    <col min="10248" max="10458" width="11.453125" style="1"/>
    <col min="10459" max="10466" width="1.7265625" style="1" customWidth="1"/>
    <col min="10467" max="10467" width="2.26953125" style="1" customWidth="1"/>
    <col min="10468" max="10477" width="1.7265625" style="1" customWidth="1"/>
    <col min="10478" max="10478" width="1" style="1" customWidth="1"/>
    <col min="10479" max="10481" width="1.7265625" style="1" customWidth="1"/>
    <col min="10482" max="10482" width="2.26953125" style="1" customWidth="1"/>
    <col min="10483" max="10486" width="1.7265625" style="1" customWidth="1"/>
    <col min="10487" max="10487" width="1.81640625" style="1" customWidth="1"/>
    <col min="10488" max="10488" width="2.453125" style="1" customWidth="1"/>
    <col min="10489" max="10490" width="1.7265625" style="1" customWidth="1"/>
    <col min="10491" max="10491" width="2.453125" style="1" customWidth="1"/>
    <col min="10492" max="10492" width="3.1796875" style="1" customWidth="1"/>
    <col min="10493" max="10493" width="2.26953125" style="1" customWidth="1"/>
    <col min="10494" max="10500" width="1.7265625" style="1" customWidth="1"/>
    <col min="10501" max="10501" width="2.1796875" style="1" customWidth="1"/>
    <col min="10502" max="10502" width="2.26953125" style="1" customWidth="1"/>
    <col min="10503" max="10503" width="2.7265625" style="1" customWidth="1"/>
    <col min="10504" max="10714" width="11.453125" style="1"/>
    <col min="10715" max="10722" width="1.7265625" style="1" customWidth="1"/>
    <col min="10723" max="10723" width="2.26953125" style="1" customWidth="1"/>
    <col min="10724" max="10733" width="1.7265625" style="1" customWidth="1"/>
    <col min="10734" max="10734" width="1" style="1" customWidth="1"/>
    <col min="10735" max="10737" width="1.7265625" style="1" customWidth="1"/>
    <col min="10738" max="10738" width="2.26953125" style="1" customWidth="1"/>
    <col min="10739" max="10742" width="1.7265625" style="1" customWidth="1"/>
    <col min="10743" max="10743" width="1.81640625" style="1" customWidth="1"/>
    <col min="10744" max="10744" width="2.453125" style="1" customWidth="1"/>
    <col min="10745" max="10746" width="1.7265625" style="1" customWidth="1"/>
    <col min="10747" max="10747" width="2.453125" style="1" customWidth="1"/>
    <col min="10748" max="10748" width="3.1796875" style="1" customWidth="1"/>
    <col min="10749" max="10749" width="2.26953125" style="1" customWidth="1"/>
    <col min="10750" max="10756" width="1.7265625" style="1" customWidth="1"/>
    <col min="10757" max="10757" width="2.1796875" style="1" customWidth="1"/>
    <col min="10758" max="10758" width="2.26953125" style="1" customWidth="1"/>
    <col min="10759" max="10759" width="2.7265625" style="1" customWidth="1"/>
    <col min="10760" max="10970" width="11.453125" style="1"/>
    <col min="10971" max="10978" width="1.7265625" style="1" customWidth="1"/>
    <col min="10979" max="10979" width="2.26953125" style="1" customWidth="1"/>
    <col min="10980" max="10989" width="1.7265625" style="1" customWidth="1"/>
    <col min="10990" max="10990" width="1" style="1" customWidth="1"/>
    <col min="10991" max="10993" width="1.7265625" style="1" customWidth="1"/>
    <col min="10994" max="10994" width="2.26953125" style="1" customWidth="1"/>
    <col min="10995" max="10998" width="1.7265625" style="1" customWidth="1"/>
    <col min="10999" max="10999" width="1.81640625" style="1" customWidth="1"/>
    <col min="11000" max="11000" width="2.453125" style="1" customWidth="1"/>
    <col min="11001" max="11002" width="1.7265625" style="1" customWidth="1"/>
    <col min="11003" max="11003" width="2.453125" style="1" customWidth="1"/>
    <col min="11004" max="11004" width="3.1796875" style="1" customWidth="1"/>
    <col min="11005" max="11005" width="2.26953125" style="1" customWidth="1"/>
    <col min="11006" max="11012" width="1.7265625" style="1" customWidth="1"/>
    <col min="11013" max="11013" width="2.1796875" style="1" customWidth="1"/>
    <col min="11014" max="11014" width="2.26953125" style="1" customWidth="1"/>
    <col min="11015" max="11015" width="2.7265625" style="1" customWidth="1"/>
    <col min="11016" max="11226" width="11.453125" style="1"/>
    <col min="11227" max="11234" width="1.7265625" style="1" customWidth="1"/>
    <col min="11235" max="11235" width="2.26953125" style="1" customWidth="1"/>
    <col min="11236" max="11245" width="1.7265625" style="1" customWidth="1"/>
    <col min="11246" max="11246" width="1" style="1" customWidth="1"/>
    <col min="11247" max="11249" width="1.7265625" style="1" customWidth="1"/>
    <col min="11250" max="11250" width="2.26953125" style="1" customWidth="1"/>
    <col min="11251" max="11254" width="1.7265625" style="1" customWidth="1"/>
    <col min="11255" max="11255" width="1.81640625" style="1" customWidth="1"/>
    <col min="11256" max="11256" width="2.453125" style="1" customWidth="1"/>
    <col min="11257" max="11258" width="1.7265625" style="1" customWidth="1"/>
    <col min="11259" max="11259" width="2.453125" style="1" customWidth="1"/>
    <col min="11260" max="11260" width="3.1796875" style="1" customWidth="1"/>
    <col min="11261" max="11261" width="2.26953125" style="1" customWidth="1"/>
    <col min="11262" max="11268" width="1.7265625" style="1" customWidth="1"/>
    <col min="11269" max="11269" width="2.1796875" style="1" customWidth="1"/>
    <col min="11270" max="11270" width="2.26953125" style="1" customWidth="1"/>
    <col min="11271" max="11271" width="2.7265625" style="1" customWidth="1"/>
    <col min="11272" max="11482" width="11.453125" style="1"/>
    <col min="11483" max="11490" width="1.7265625" style="1" customWidth="1"/>
    <col min="11491" max="11491" width="2.26953125" style="1" customWidth="1"/>
    <col min="11492" max="11501" width="1.7265625" style="1" customWidth="1"/>
    <col min="11502" max="11502" width="1" style="1" customWidth="1"/>
    <col min="11503" max="11505" width="1.7265625" style="1" customWidth="1"/>
    <col min="11506" max="11506" width="2.26953125" style="1" customWidth="1"/>
    <col min="11507" max="11510" width="1.7265625" style="1" customWidth="1"/>
    <col min="11511" max="11511" width="1.81640625" style="1" customWidth="1"/>
    <col min="11512" max="11512" width="2.453125" style="1" customWidth="1"/>
    <col min="11513" max="11514" width="1.7265625" style="1" customWidth="1"/>
    <col min="11515" max="11515" width="2.453125" style="1" customWidth="1"/>
    <col min="11516" max="11516" width="3.1796875" style="1" customWidth="1"/>
    <col min="11517" max="11517" width="2.26953125" style="1" customWidth="1"/>
    <col min="11518" max="11524" width="1.7265625" style="1" customWidth="1"/>
    <col min="11525" max="11525" width="2.1796875" style="1" customWidth="1"/>
    <col min="11526" max="11526" width="2.26953125" style="1" customWidth="1"/>
    <col min="11527" max="11527" width="2.7265625" style="1" customWidth="1"/>
    <col min="11528" max="11738" width="11.453125" style="1"/>
    <col min="11739" max="11746" width="1.7265625" style="1" customWidth="1"/>
    <col min="11747" max="11747" width="2.26953125" style="1" customWidth="1"/>
    <col min="11748" max="11757" width="1.7265625" style="1" customWidth="1"/>
    <col min="11758" max="11758" width="1" style="1" customWidth="1"/>
    <col min="11759" max="11761" width="1.7265625" style="1" customWidth="1"/>
    <col min="11762" max="11762" width="2.26953125" style="1" customWidth="1"/>
    <col min="11763" max="11766" width="1.7265625" style="1" customWidth="1"/>
    <col min="11767" max="11767" width="1.81640625" style="1" customWidth="1"/>
    <col min="11768" max="11768" width="2.453125" style="1" customWidth="1"/>
    <col min="11769" max="11770" width="1.7265625" style="1" customWidth="1"/>
    <col min="11771" max="11771" width="2.453125" style="1" customWidth="1"/>
    <col min="11772" max="11772" width="3.1796875" style="1" customWidth="1"/>
    <col min="11773" max="11773" width="2.26953125" style="1" customWidth="1"/>
    <col min="11774" max="11780" width="1.7265625" style="1" customWidth="1"/>
    <col min="11781" max="11781" width="2.1796875" style="1" customWidth="1"/>
    <col min="11782" max="11782" width="2.26953125" style="1" customWidth="1"/>
    <col min="11783" max="11783" width="2.7265625" style="1" customWidth="1"/>
    <col min="11784" max="11994" width="11.453125" style="1"/>
    <col min="11995" max="12002" width="1.7265625" style="1" customWidth="1"/>
    <col min="12003" max="12003" width="2.26953125" style="1" customWidth="1"/>
    <col min="12004" max="12013" width="1.7265625" style="1" customWidth="1"/>
    <col min="12014" max="12014" width="1" style="1" customWidth="1"/>
    <col min="12015" max="12017" width="1.7265625" style="1" customWidth="1"/>
    <col min="12018" max="12018" width="2.26953125" style="1" customWidth="1"/>
    <col min="12019" max="12022" width="1.7265625" style="1" customWidth="1"/>
    <col min="12023" max="12023" width="1.81640625" style="1" customWidth="1"/>
    <col min="12024" max="12024" width="2.453125" style="1" customWidth="1"/>
    <col min="12025" max="12026" width="1.7265625" style="1" customWidth="1"/>
    <col min="12027" max="12027" width="2.453125" style="1" customWidth="1"/>
    <col min="12028" max="12028" width="3.1796875" style="1" customWidth="1"/>
    <col min="12029" max="12029" width="2.26953125" style="1" customWidth="1"/>
    <col min="12030" max="12036" width="1.7265625" style="1" customWidth="1"/>
    <col min="12037" max="12037" width="2.1796875" style="1" customWidth="1"/>
    <col min="12038" max="12038" width="2.26953125" style="1" customWidth="1"/>
    <col min="12039" max="12039" width="2.7265625" style="1" customWidth="1"/>
    <col min="12040" max="12250" width="11.453125" style="1"/>
    <col min="12251" max="12258" width="1.7265625" style="1" customWidth="1"/>
    <col min="12259" max="12259" width="2.26953125" style="1" customWidth="1"/>
    <col min="12260" max="12269" width="1.7265625" style="1" customWidth="1"/>
    <col min="12270" max="12270" width="1" style="1" customWidth="1"/>
    <col min="12271" max="12273" width="1.7265625" style="1" customWidth="1"/>
    <col min="12274" max="12274" width="2.26953125" style="1" customWidth="1"/>
    <col min="12275" max="12278" width="1.7265625" style="1" customWidth="1"/>
    <col min="12279" max="12279" width="1.81640625" style="1" customWidth="1"/>
    <col min="12280" max="12280" width="2.453125" style="1" customWidth="1"/>
    <col min="12281" max="12282" width="1.7265625" style="1" customWidth="1"/>
    <col min="12283" max="12283" width="2.453125" style="1" customWidth="1"/>
    <col min="12284" max="12284" width="3.1796875" style="1" customWidth="1"/>
    <col min="12285" max="12285" width="2.26953125" style="1" customWidth="1"/>
    <col min="12286" max="12292" width="1.7265625" style="1" customWidth="1"/>
    <col min="12293" max="12293" width="2.1796875" style="1" customWidth="1"/>
    <col min="12294" max="12294" width="2.26953125" style="1" customWidth="1"/>
    <col min="12295" max="12295" width="2.7265625" style="1" customWidth="1"/>
    <col min="12296" max="12506" width="11.453125" style="1"/>
    <col min="12507" max="12514" width="1.7265625" style="1" customWidth="1"/>
    <col min="12515" max="12515" width="2.26953125" style="1" customWidth="1"/>
    <col min="12516" max="12525" width="1.7265625" style="1" customWidth="1"/>
    <col min="12526" max="12526" width="1" style="1" customWidth="1"/>
    <col min="12527" max="12529" width="1.7265625" style="1" customWidth="1"/>
    <col min="12530" max="12530" width="2.26953125" style="1" customWidth="1"/>
    <col min="12531" max="12534" width="1.7265625" style="1" customWidth="1"/>
    <col min="12535" max="12535" width="1.81640625" style="1" customWidth="1"/>
    <col min="12536" max="12536" width="2.453125" style="1" customWidth="1"/>
    <col min="12537" max="12538" width="1.7265625" style="1" customWidth="1"/>
    <col min="12539" max="12539" width="2.453125" style="1" customWidth="1"/>
    <col min="12540" max="12540" width="3.1796875" style="1" customWidth="1"/>
    <col min="12541" max="12541" width="2.26953125" style="1" customWidth="1"/>
    <col min="12542" max="12548" width="1.7265625" style="1" customWidth="1"/>
    <col min="12549" max="12549" width="2.1796875" style="1" customWidth="1"/>
    <col min="12550" max="12550" width="2.26953125" style="1" customWidth="1"/>
    <col min="12551" max="12551" width="2.7265625" style="1" customWidth="1"/>
    <col min="12552" max="12762" width="11.453125" style="1"/>
    <col min="12763" max="12770" width="1.7265625" style="1" customWidth="1"/>
    <col min="12771" max="12771" width="2.26953125" style="1" customWidth="1"/>
    <col min="12772" max="12781" width="1.7265625" style="1" customWidth="1"/>
    <col min="12782" max="12782" width="1" style="1" customWidth="1"/>
    <col min="12783" max="12785" width="1.7265625" style="1" customWidth="1"/>
    <col min="12786" max="12786" width="2.26953125" style="1" customWidth="1"/>
    <col min="12787" max="12790" width="1.7265625" style="1" customWidth="1"/>
    <col min="12791" max="12791" width="1.81640625" style="1" customWidth="1"/>
    <col min="12792" max="12792" width="2.453125" style="1" customWidth="1"/>
    <col min="12793" max="12794" width="1.7265625" style="1" customWidth="1"/>
    <col min="12795" max="12795" width="2.453125" style="1" customWidth="1"/>
    <col min="12796" max="12796" width="3.1796875" style="1" customWidth="1"/>
    <col min="12797" max="12797" width="2.26953125" style="1" customWidth="1"/>
    <col min="12798" max="12804" width="1.7265625" style="1" customWidth="1"/>
    <col min="12805" max="12805" width="2.1796875" style="1" customWidth="1"/>
    <col min="12806" max="12806" width="2.26953125" style="1" customWidth="1"/>
    <col min="12807" max="12807" width="2.7265625" style="1" customWidth="1"/>
    <col min="12808" max="13018" width="11.453125" style="1"/>
    <col min="13019" max="13026" width="1.7265625" style="1" customWidth="1"/>
    <col min="13027" max="13027" width="2.26953125" style="1" customWidth="1"/>
    <col min="13028" max="13037" width="1.7265625" style="1" customWidth="1"/>
    <col min="13038" max="13038" width="1" style="1" customWidth="1"/>
    <col min="13039" max="13041" width="1.7265625" style="1" customWidth="1"/>
    <col min="13042" max="13042" width="2.26953125" style="1" customWidth="1"/>
    <col min="13043" max="13046" width="1.7265625" style="1" customWidth="1"/>
    <col min="13047" max="13047" width="1.81640625" style="1" customWidth="1"/>
    <col min="13048" max="13048" width="2.453125" style="1" customWidth="1"/>
    <col min="13049" max="13050" width="1.7265625" style="1" customWidth="1"/>
    <col min="13051" max="13051" width="2.453125" style="1" customWidth="1"/>
    <col min="13052" max="13052" width="3.1796875" style="1" customWidth="1"/>
    <col min="13053" max="13053" width="2.26953125" style="1" customWidth="1"/>
    <col min="13054" max="13060" width="1.7265625" style="1" customWidth="1"/>
    <col min="13061" max="13061" width="2.1796875" style="1" customWidth="1"/>
    <col min="13062" max="13062" width="2.26953125" style="1" customWidth="1"/>
    <col min="13063" max="13063" width="2.7265625" style="1" customWidth="1"/>
    <col min="13064" max="13274" width="11.453125" style="1"/>
    <col min="13275" max="13282" width="1.7265625" style="1" customWidth="1"/>
    <col min="13283" max="13283" width="2.26953125" style="1" customWidth="1"/>
    <col min="13284" max="13293" width="1.7265625" style="1" customWidth="1"/>
    <col min="13294" max="13294" width="1" style="1" customWidth="1"/>
    <col min="13295" max="13297" width="1.7265625" style="1" customWidth="1"/>
    <col min="13298" max="13298" width="2.26953125" style="1" customWidth="1"/>
    <col min="13299" max="13302" width="1.7265625" style="1" customWidth="1"/>
    <col min="13303" max="13303" width="1.81640625" style="1" customWidth="1"/>
    <col min="13304" max="13304" width="2.453125" style="1" customWidth="1"/>
    <col min="13305" max="13306" width="1.7265625" style="1" customWidth="1"/>
    <col min="13307" max="13307" width="2.453125" style="1" customWidth="1"/>
    <col min="13308" max="13308" width="3.1796875" style="1" customWidth="1"/>
    <col min="13309" max="13309" width="2.26953125" style="1" customWidth="1"/>
    <col min="13310" max="13316" width="1.7265625" style="1" customWidth="1"/>
    <col min="13317" max="13317" width="2.1796875" style="1" customWidth="1"/>
    <col min="13318" max="13318" width="2.26953125" style="1" customWidth="1"/>
    <col min="13319" max="13319" width="2.7265625" style="1" customWidth="1"/>
    <col min="13320" max="13530" width="11.453125" style="1"/>
    <col min="13531" max="13538" width="1.7265625" style="1" customWidth="1"/>
    <col min="13539" max="13539" width="2.26953125" style="1" customWidth="1"/>
    <col min="13540" max="13549" width="1.7265625" style="1" customWidth="1"/>
    <col min="13550" max="13550" width="1" style="1" customWidth="1"/>
    <col min="13551" max="13553" width="1.7265625" style="1" customWidth="1"/>
    <col min="13554" max="13554" width="2.26953125" style="1" customWidth="1"/>
    <col min="13555" max="13558" width="1.7265625" style="1" customWidth="1"/>
    <col min="13559" max="13559" width="1.81640625" style="1" customWidth="1"/>
    <col min="13560" max="13560" width="2.453125" style="1" customWidth="1"/>
    <col min="13561" max="13562" width="1.7265625" style="1" customWidth="1"/>
    <col min="13563" max="13563" width="2.453125" style="1" customWidth="1"/>
    <col min="13564" max="13564" width="3.1796875" style="1" customWidth="1"/>
    <col min="13565" max="13565" width="2.26953125" style="1" customWidth="1"/>
    <col min="13566" max="13572" width="1.7265625" style="1" customWidth="1"/>
    <col min="13573" max="13573" width="2.1796875" style="1" customWidth="1"/>
    <col min="13574" max="13574" width="2.26953125" style="1" customWidth="1"/>
    <col min="13575" max="13575" width="2.7265625" style="1" customWidth="1"/>
    <col min="13576" max="13786" width="11.453125" style="1"/>
    <col min="13787" max="13794" width="1.7265625" style="1" customWidth="1"/>
    <col min="13795" max="13795" width="2.26953125" style="1" customWidth="1"/>
    <col min="13796" max="13805" width="1.7265625" style="1" customWidth="1"/>
    <col min="13806" max="13806" width="1" style="1" customWidth="1"/>
    <col min="13807" max="13809" width="1.7265625" style="1" customWidth="1"/>
    <col min="13810" max="13810" width="2.26953125" style="1" customWidth="1"/>
    <col min="13811" max="13814" width="1.7265625" style="1" customWidth="1"/>
    <col min="13815" max="13815" width="1.81640625" style="1" customWidth="1"/>
    <col min="13816" max="13816" width="2.453125" style="1" customWidth="1"/>
    <col min="13817" max="13818" width="1.7265625" style="1" customWidth="1"/>
    <col min="13819" max="13819" width="2.453125" style="1" customWidth="1"/>
    <col min="13820" max="13820" width="3.1796875" style="1" customWidth="1"/>
    <col min="13821" max="13821" width="2.26953125" style="1" customWidth="1"/>
    <col min="13822" max="13828" width="1.7265625" style="1" customWidth="1"/>
    <col min="13829" max="13829" width="2.1796875" style="1" customWidth="1"/>
    <col min="13830" max="13830" width="2.26953125" style="1" customWidth="1"/>
    <col min="13831" max="13831" width="2.7265625" style="1" customWidth="1"/>
    <col min="13832" max="14042" width="11.453125" style="1"/>
    <col min="14043" max="14050" width="1.7265625" style="1" customWidth="1"/>
    <col min="14051" max="14051" width="2.26953125" style="1" customWidth="1"/>
    <col min="14052" max="14061" width="1.7265625" style="1" customWidth="1"/>
    <col min="14062" max="14062" width="1" style="1" customWidth="1"/>
    <col min="14063" max="14065" width="1.7265625" style="1" customWidth="1"/>
    <col min="14066" max="14066" width="2.26953125" style="1" customWidth="1"/>
    <col min="14067" max="14070" width="1.7265625" style="1" customWidth="1"/>
    <col min="14071" max="14071" width="1.81640625" style="1" customWidth="1"/>
    <col min="14072" max="14072" width="2.453125" style="1" customWidth="1"/>
    <col min="14073" max="14074" width="1.7265625" style="1" customWidth="1"/>
    <col min="14075" max="14075" width="2.453125" style="1" customWidth="1"/>
    <col min="14076" max="14076" width="3.1796875" style="1" customWidth="1"/>
    <col min="14077" max="14077" width="2.26953125" style="1" customWidth="1"/>
    <col min="14078" max="14084" width="1.7265625" style="1" customWidth="1"/>
    <col min="14085" max="14085" width="2.1796875" style="1" customWidth="1"/>
    <col min="14086" max="14086" width="2.26953125" style="1" customWidth="1"/>
    <col min="14087" max="14087" width="2.7265625" style="1" customWidth="1"/>
    <col min="14088" max="14298" width="11.453125" style="1"/>
    <col min="14299" max="14306" width="1.7265625" style="1" customWidth="1"/>
    <col min="14307" max="14307" width="2.26953125" style="1" customWidth="1"/>
    <col min="14308" max="14317" width="1.7265625" style="1" customWidth="1"/>
    <col min="14318" max="14318" width="1" style="1" customWidth="1"/>
    <col min="14319" max="14321" width="1.7265625" style="1" customWidth="1"/>
    <col min="14322" max="14322" width="2.26953125" style="1" customWidth="1"/>
    <col min="14323" max="14326" width="1.7265625" style="1" customWidth="1"/>
    <col min="14327" max="14327" width="1.81640625" style="1" customWidth="1"/>
    <col min="14328" max="14328" width="2.453125" style="1" customWidth="1"/>
    <col min="14329" max="14330" width="1.7265625" style="1" customWidth="1"/>
    <col min="14331" max="14331" width="2.453125" style="1" customWidth="1"/>
    <col min="14332" max="14332" width="3.1796875" style="1" customWidth="1"/>
    <col min="14333" max="14333" width="2.26953125" style="1" customWidth="1"/>
    <col min="14334" max="14340" width="1.7265625" style="1" customWidth="1"/>
    <col min="14341" max="14341" width="2.1796875" style="1" customWidth="1"/>
    <col min="14342" max="14342" width="2.26953125" style="1" customWidth="1"/>
    <col min="14343" max="14343" width="2.7265625" style="1" customWidth="1"/>
    <col min="14344" max="14554" width="11.453125" style="1"/>
    <col min="14555" max="14562" width="1.7265625" style="1" customWidth="1"/>
    <col min="14563" max="14563" width="2.26953125" style="1" customWidth="1"/>
    <col min="14564" max="14573" width="1.7265625" style="1" customWidth="1"/>
    <col min="14574" max="14574" width="1" style="1" customWidth="1"/>
    <col min="14575" max="14577" width="1.7265625" style="1" customWidth="1"/>
    <col min="14578" max="14578" width="2.26953125" style="1" customWidth="1"/>
    <col min="14579" max="14582" width="1.7265625" style="1" customWidth="1"/>
    <col min="14583" max="14583" width="1.81640625" style="1" customWidth="1"/>
    <col min="14584" max="14584" width="2.453125" style="1" customWidth="1"/>
    <col min="14585" max="14586" width="1.7265625" style="1" customWidth="1"/>
    <col min="14587" max="14587" width="2.453125" style="1" customWidth="1"/>
    <col min="14588" max="14588" width="3.1796875" style="1" customWidth="1"/>
    <col min="14589" max="14589" width="2.26953125" style="1" customWidth="1"/>
    <col min="14590" max="14596" width="1.7265625" style="1" customWidth="1"/>
    <col min="14597" max="14597" width="2.1796875" style="1" customWidth="1"/>
    <col min="14598" max="14598" width="2.26953125" style="1" customWidth="1"/>
    <col min="14599" max="14599" width="2.7265625" style="1" customWidth="1"/>
    <col min="14600" max="14810" width="11.453125" style="1"/>
    <col min="14811" max="14818" width="1.7265625" style="1" customWidth="1"/>
    <col min="14819" max="14819" width="2.26953125" style="1" customWidth="1"/>
    <col min="14820" max="14829" width="1.7265625" style="1" customWidth="1"/>
    <col min="14830" max="14830" width="1" style="1" customWidth="1"/>
    <col min="14831" max="14833" width="1.7265625" style="1" customWidth="1"/>
    <col min="14834" max="14834" width="2.26953125" style="1" customWidth="1"/>
    <col min="14835" max="14838" width="1.7265625" style="1" customWidth="1"/>
    <col min="14839" max="14839" width="1.81640625" style="1" customWidth="1"/>
    <col min="14840" max="14840" width="2.453125" style="1" customWidth="1"/>
    <col min="14841" max="14842" width="1.7265625" style="1" customWidth="1"/>
    <col min="14843" max="14843" width="2.453125" style="1" customWidth="1"/>
    <col min="14844" max="14844" width="3.1796875" style="1" customWidth="1"/>
    <col min="14845" max="14845" width="2.26953125" style="1" customWidth="1"/>
    <col min="14846" max="14852" width="1.7265625" style="1" customWidth="1"/>
    <col min="14853" max="14853" width="2.1796875" style="1" customWidth="1"/>
    <col min="14854" max="14854" width="2.26953125" style="1" customWidth="1"/>
    <col min="14855" max="14855" width="2.7265625" style="1" customWidth="1"/>
    <col min="14856" max="15066" width="11.453125" style="1"/>
    <col min="15067" max="15074" width="1.7265625" style="1" customWidth="1"/>
    <col min="15075" max="15075" width="2.26953125" style="1" customWidth="1"/>
    <col min="15076" max="15085" width="1.7265625" style="1" customWidth="1"/>
    <col min="15086" max="15086" width="1" style="1" customWidth="1"/>
    <col min="15087" max="15089" width="1.7265625" style="1" customWidth="1"/>
    <col min="15090" max="15090" width="2.26953125" style="1" customWidth="1"/>
    <col min="15091" max="15094" width="1.7265625" style="1" customWidth="1"/>
    <col min="15095" max="15095" width="1.81640625" style="1" customWidth="1"/>
    <col min="15096" max="15096" width="2.453125" style="1" customWidth="1"/>
    <col min="15097" max="15098" width="1.7265625" style="1" customWidth="1"/>
    <col min="15099" max="15099" width="2.453125" style="1" customWidth="1"/>
    <col min="15100" max="15100" width="3.1796875" style="1" customWidth="1"/>
    <col min="15101" max="15101" width="2.26953125" style="1" customWidth="1"/>
    <col min="15102" max="15108" width="1.7265625" style="1" customWidth="1"/>
    <col min="15109" max="15109" width="2.1796875" style="1" customWidth="1"/>
    <col min="15110" max="15110" width="2.26953125" style="1" customWidth="1"/>
    <col min="15111" max="15111" width="2.7265625" style="1" customWidth="1"/>
    <col min="15112" max="15322" width="11.453125" style="1"/>
    <col min="15323" max="15330" width="1.7265625" style="1" customWidth="1"/>
    <col min="15331" max="15331" width="2.26953125" style="1" customWidth="1"/>
    <col min="15332" max="15341" width="1.7265625" style="1" customWidth="1"/>
    <col min="15342" max="15342" width="1" style="1" customWidth="1"/>
    <col min="15343" max="15345" width="1.7265625" style="1" customWidth="1"/>
    <col min="15346" max="15346" width="2.26953125" style="1" customWidth="1"/>
    <col min="15347" max="15350" width="1.7265625" style="1" customWidth="1"/>
    <col min="15351" max="15351" width="1.81640625" style="1" customWidth="1"/>
    <col min="15352" max="15352" width="2.453125" style="1" customWidth="1"/>
    <col min="15353" max="15354" width="1.7265625" style="1" customWidth="1"/>
    <col min="15355" max="15355" width="2.453125" style="1" customWidth="1"/>
    <col min="15356" max="15356" width="3.1796875" style="1" customWidth="1"/>
    <col min="15357" max="15357" width="2.26953125" style="1" customWidth="1"/>
    <col min="15358" max="15364" width="1.7265625" style="1" customWidth="1"/>
    <col min="15365" max="15365" width="2.1796875" style="1" customWidth="1"/>
    <col min="15366" max="15366" width="2.26953125" style="1" customWidth="1"/>
    <col min="15367" max="15367" width="2.7265625" style="1" customWidth="1"/>
    <col min="15368" max="15578" width="11.453125" style="1"/>
    <col min="15579" max="15586" width="1.7265625" style="1" customWidth="1"/>
    <col min="15587" max="15587" width="2.26953125" style="1" customWidth="1"/>
    <col min="15588" max="15597" width="1.7265625" style="1" customWidth="1"/>
    <col min="15598" max="15598" width="1" style="1" customWidth="1"/>
    <col min="15599" max="15601" width="1.7265625" style="1" customWidth="1"/>
    <col min="15602" max="15602" width="2.26953125" style="1" customWidth="1"/>
    <col min="15603" max="15606" width="1.7265625" style="1" customWidth="1"/>
    <col min="15607" max="15607" width="1.81640625" style="1" customWidth="1"/>
    <col min="15608" max="15608" width="2.453125" style="1" customWidth="1"/>
    <col min="15609" max="15610" width="1.7265625" style="1" customWidth="1"/>
    <col min="15611" max="15611" width="2.453125" style="1" customWidth="1"/>
    <col min="15612" max="15612" width="3.1796875" style="1" customWidth="1"/>
    <col min="15613" max="15613" width="2.26953125" style="1" customWidth="1"/>
    <col min="15614" max="15620" width="1.7265625" style="1" customWidth="1"/>
    <col min="15621" max="15621" width="2.1796875" style="1" customWidth="1"/>
    <col min="15622" max="15622" width="2.26953125" style="1" customWidth="1"/>
    <col min="15623" max="15623" width="2.7265625" style="1" customWidth="1"/>
    <col min="15624" max="15834" width="11.453125" style="1"/>
    <col min="15835" max="15842" width="1.7265625" style="1" customWidth="1"/>
    <col min="15843" max="15843" width="2.26953125" style="1" customWidth="1"/>
    <col min="15844" max="15853" width="1.7265625" style="1" customWidth="1"/>
    <col min="15854" max="15854" width="1" style="1" customWidth="1"/>
    <col min="15855" max="15857" width="1.7265625" style="1" customWidth="1"/>
    <col min="15858" max="15858" width="2.26953125" style="1" customWidth="1"/>
    <col min="15859" max="15862" width="1.7265625" style="1" customWidth="1"/>
    <col min="15863" max="15863" width="1.81640625" style="1" customWidth="1"/>
    <col min="15864" max="15864" width="2.453125" style="1" customWidth="1"/>
    <col min="15865" max="15866" width="1.7265625" style="1" customWidth="1"/>
    <col min="15867" max="15867" width="2.453125" style="1" customWidth="1"/>
    <col min="15868" max="15868" width="3.1796875" style="1" customWidth="1"/>
    <col min="15869" max="15869" width="2.26953125" style="1" customWidth="1"/>
    <col min="15870" max="15876" width="1.7265625" style="1" customWidth="1"/>
    <col min="15877" max="15877" width="2.1796875" style="1" customWidth="1"/>
    <col min="15878" max="15878" width="2.26953125" style="1" customWidth="1"/>
    <col min="15879" max="15879" width="2.7265625" style="1" customWidth="1"/>
    <col min="15880" max="16090" width="11.453125" style="1"/>
    <col min="16091" max="16098" width="1.7265625" style="1" customWidth="1"/>
    <col min="16099" max="16099" width="2.26953125" style="1" customWidth="1"/>
    <col min="16100" max="16109" width="1.7265625" style="1" customWidth="1"/>
    <col min="16110" max="16110" width="1" style="1" customWidth="1"/>
    <col min="16111" max="16113" width="1.7265625" style="1" customWidth="1"/>
    <col min="16114" max="16114" width="2.26953125" style="1" customWidth="1"/>
    <col min="16115" max="16118" width="1.7265625" style="1" customWidth="1"/>
    <col min="16119" max="16119" width="1.81640625" style="1" customWidth="1"/>
    <col min="16120" max="16120" width="2.453125" style="1" customWidth="1"/>
    <col min="16121" max="16122" width="1.7265625" style="1" customWidth="1"/>
    <col min="16123" max="16123" width="2.453125" style="1" customWidth="1"/>
    <col min="16124" max="16124" width="3.1796875" style="1" customWidth="1"/>
    <col min="16125" max="16125" width="2.26953125" style="1" customWidth="1"/>
    <col min="16126" max="16132" width="1.7265625" style="1" customWidth="1"/>
    <col min="16133" max="16133" width="2.1796875" style="1" customWidth="1"/>
    <col min="16134" max="16134" width="2.26953125" style="1" customWidth="1"/>
    <col min="16135" max="16135" width="2.7265625" style="1" customWidth="1"/>
    <col min="16136" max="16384" width="11.453125" style="1"/>
  </cols>
  <sheetData>
    <row r="1" spans="1:10" ht="18" customHeight="1" x14ac:dyDescent="0.3">
      <c r="A1" s="115" t="e" vm="1">
        <v>#VALUE!</v>
      </c>
      <c r="B1" s="106" t="s">
        <v>0</v>
      </c>
      <c r="C1" s="107"/>
      <c r="D1" s="107"/>
      <c r="E1" s="107"/>
      <c r="F1" s="107"/>
      <c r="G1" s="108"/>
      <c r="H1" s="44"/>
    </row>
    <row r="2" spans="1:10" ht="18" customHeight="1" x14ac:dyDescent="0.3">
      <c r="A2" s="116"/>
      <c r="B2" s="109" t="s">
        <v>1</v>
      </c>
      <c r="C2" s="110"/>
      <c r="D2" s="110"/>
      <c r="E2" s="110"/>
      <c r="F2" s="110"/>
      <c r="G2" s="111"/>
      <c r="H2" s="45" t="s">
        <v>145</v>
      </c>
    </row>
    <row r="3" spans="1:10" ht="18" customHeight="1" x14ac:dyDescent="0.3">
      <c r="A3" s="116"/>
      <c r="B3" s="109" t="s">
        <v>2</v>
      </c>
      <c r="C3" s="110"/>
      <c r="D3" s="110"/>
      <c r="E3" s="110"/>
      <c r="F3" s="110"/>
      <c r="G3" s="111"/>
      <c r="H3" s="45" t="s">
        <v>3</v>
      </c>
    </row>
    <row r="4" spans="1:10" ht="18" customHeight="1" x14ac:dyDescent="0.3">
      <c r="A4" s="117"/>
      <c r="B4" s="112" t="s">
        <v>144</v>
      </c>
      <c r="C4" s="113"/>
      <c r="D4" s="113"/>
      <c r="E4" s="113"/>
      <c r="F4" s="113"/>
      <c r="G4" s="114"/>
      <c r="H4" s="46"/>
    </row>
    <row r="5" spans="1:10" ht="40" customHeight="1" x14ac:dyDescent="0.3">
      <c r="A5" s="105" t="s">
        <v>18</v>
      </c>
      <c r="B5" s="73"/>
      <c r="C5" s="73"/>
      <c r="D5" s="73"/>
      <c r="E5" s="73"/>
      <c r="F5" s="73"/>
      <c r="G5" s="73"/>
      <c r="H5" s="75"/>
    </row>
    <row r="6" spans="1:10" ht="40" customHeight="1" x14ac:dyDescent="0.3">
      <c r="A6" s="47" t="s">
        <v>9</v>
      </c>
      <c r="B6" s="35" t="s">
        <v>201</v>
      </c>
      <c r="C6" s="13" t="s">
        <v>10</v>
      </c>
      <c r="D6" s="35" t="s">
        <v>202</v>
      </c>
      <c r="E6" s="36" t="s">
        <v>198</v>
      </c>
      <c r="F6" s="35" t="s">
        <v>203</v>
      </c>
      <c r="G6" s="37" t="s">
        <v>11</v>
      </c>
      <c r="H6" s="48" t="s">
        <v>204</v>
      </c>
    </row>
    <row r="7" spans="1:10" ht="40" customHeight="1" x14ac:dyDescent="0.3">
      <c r="A7" s="105" t="s">
        <v>17</v>
      </c>
      <c r="B7" s="73"/>
      <c r="C7" s="73"/>
      <c r="D7" s="73"/>
      <c r="E7" s="73"/>
      <c r="F7" s="73"/>
      <c r="G7" s="73"/>
      <c r="H7" s="75"/>
    </row>
    <row r="8" spans="1:10" ht="40" customHeight="1" x14ac:dyDescent="0.3">
      <c r="A8" s="49" t="s">
        <v>173</v>
      </c>
      <c r="B8" s="42"/>
      <c r="C8" s="5" t="s">
        <v>45</v>
      </c>
      <c r="D8" s="42"/>
      <c r="E8" s="6" t="s">
        <v>5</v>
      </c>
      <c r="F8" s="42"/>
      <c r="G8" s="6" t="s">
        <v>20</v>
      </c>
      <c r="H8" s="50"/>
    </row>
    <row r="9" spans="1:10" ht="40" customHeight="1" x14ac:dyDescent="0.3">
      <c r="A9" s="51" t="s">
        <v>174</v>
      </c>
      <c r="B9" s="43"/>
      <c r="C9" s="7" t="s">
        <v>46</v>
      </c>
      <c r="D9" s="43"/>
      <c r="E9" s="7" t="s">
        <v>8</v>
      </c>
      <c r="F9" s="43"/>
      <c r="G9" s="7" t="s">
        <v>7</v>
      </c>
      <c r="H9" s="52"/>
      <c r="J9" s="1" t="s">
        <v>6</v>
      </c>
    </row>
    <row r="10" spans="1:10" ht="40" customHeight="1" x14ac:dyDescent="0.3">
      <c r="A10" s="105" t="s">
        <v>19</v>
      </c>
      <c r="B10" s="73"/>
      <c r="C10" s="73"/>
      <c r="D10" s="73"/>
      <c r="E10" s="73"/>
      <c r="F10" s="73"/>
      <c r="G10" s="73"/>
      <c r="H10" s="75"/>
    </row>
    <row r="11" spans="1:10" ht="40" customHeight="1" x14ac:dyDescent="0.3">
      <c r="A11" s="53" t="s">
        <v>12</v>
      </c>
      <c r="B11" s="38"/>
      <c r="C11" s="8" t="s">
        <v>13</v>
      </c>
      <c r="D11" s="38"/>
      <c r="E11" s="8" t="s">
        <v>48</v>
      </c>
      <c r="F11" s="41" t="s">
        <v>205</v>
      </c>
      <c r="G11" s="9" t="s">
        <v>49</v>
      </c>
      <c r="H11" s="54" t="s">
        <v>206</v>
      </c>
    </row>
    <row r="12" spans="1:10" ht="40" customHeight="1" x14ac:dyDescent="0.3">
      <c r="A12" s="55" t="s">
        <v>14</v>
      </c>
      <c r="B12" s="39" t="s">
        <v>207</v>
      </c>
      <c r="C12" s="11" t="s">
        <v>15</v>
      </c>
      <c r="D12" s="39" t="s">
        <v>208</v>
      </c>
      <c r="E12" s="10" t="s">
        <v>51</v>
      </c>
      <c r="F12" s="39" t="s">
        <v>209</v>
      </c>
      <c r="G12" s="10" t="s">
        <v>52</v>
      </c>
      <c r="H12" s="56" t="s">
        <v>210</v>
      </c>
    </row>
    <row r="13" spans="1:10" ht="40" customHeight="1" thickBot="1" x14ac:dyDescent="0.35">
      <c r="A13" s="57" t="s">
        <v>50</v>
      </c>
      <c r="B13" s="40" t="s">
        <v>211</v>
      </c>
      <c r="C13" s="14" t="s">
        <v>16</v>
      </c>
      <c r="D13" s="93" t="s">
        <v>212</v>
      </c>
      <c r="E13" s="77"/>
      <c r="F13" s="77"/>
      <c r="G13" s="77"/>
      <c r="H13" s="94"/>
    </row>
    <row r="14" spans="1:10" ht="40" customHeight="1" thickTop="1" x14ac:dyDescent="0.3">
      <c r="A14" s="47" t="s">
        <v>47</v>
      </c>
      <c r="B14" s="95"/>
      <c r="C14" s="95"/>
      <c r="D14" s="13" t="s">
        <v>21</v>
      </c>
      <c r="E14" s="96" t="s">
        <v>200</v>
      </c>
      <c r="F14" s="97"/>
      <c r="G14" s="13" t="s">
        <v>53</v>
      </c>
      <c r="H14" s="59" t="s">
        <v>213</v>
      </c>
    </row>
    <row r="15" spans="1:10" ht="40" customHeight="1" x14ac:dyDescent="0.3">
      <c r="A15" s="72" t="s">
        <v>43</v>
      </c>
      <c r="B15" s="73"/>
      <c r="C15" s="73"/>
      <c r="D15" s="73"/>
      <c r="E15" s="73"/>
      <c r="F15" s="73"/>
      <c r="G15" s="73"/>
      <c r="H15" s="75"/>
    </row>
    <row r="16" spans="1:10" s="4" customFormat="1" ht="40" customHeight="1" x14ac:dyDescent="0.3">
      <c r="A16" s="102" t="s">
        <v>38</v>
      </c>
      <c r="B16" s="63"/>
      <c r="C16" s="63"/>
      <c r="D16" s="63"/>
      <c r="E16" s="63" t="s">
        <v>39</v>
      </c>
      <c r="F16" s="63"/>
      <c r="G16" s="63"/>
      <c r="H16" s="64"/>
    </row>
    <row r="17" spans="1:8" s="4" customFormat="1" ht="40" customHeight="1" x14ac:dyDescent="0.3">
      <c r="A17" s="65" t="s">
        <v>30</v>
      </c>
      <c r="B17" s="66"/>
      <c r="C17" s="66"/>
      <c r="D17" s="12" t="s">
        <v>29</v>
      </c>
      <c r="E17" s="66" t="s">
        <v>30</v>
      </c>
      <c r="F17" s="66"/>
      <c r="G17" s="66"/>
      <c r="H17" s="60" t="s">
        <v>29</v>
      </c>
    </row>
    <row r="18" spans="1:8" s="4" customFormat="1" ht="40" customHeight="1" x14ac:dyDescent="0.3">
      <c r="A18" s="99" t="s">
        <v>22</v>
      </c>
      <c r="B18" s="100"/>
      <c r="C18" s="100"/>
      <c r="D18" s="31"/>
      <c r="E18" s="100" t="s">
        <v>31</v>
      </c>
      <c r="F18" s="100"/>
      <c r="G18" s="100"/>
      <c r="H18" s="61"/>
    </row>
    <row r="19" spans="1:8" s="4" customFormat="1" ht="40" customHeight="1" x14ac:dyDescent="0.3">
      <c r="A19" s="99" t="s">
        <v>23</v>
      </c>
      <c r="B19" s="100"/>
      <c r="C19" s="100"/>
      <c r="D19" s="31"/>
      <c r="E19" s="101" t="s">
        <v>32</v>
      </c>
      <c r="F19" s="101"/>
      <c r="G19" s="101"/>
      <c r="H19" s="61"/>
    </row>
    <row r="20" spans="1:8" s="4" customFormat="1" ht="40" customHeight="1" x14ac:dyDescent="0.3">
      <c r="A20" s="65" t="s">
        <v>40</v>
      </c>
      <c r="B20" s="66"/>
      <c r="C20" s="66"/>
      <c r="D20" s="66"/>
      <c r="E20" s="101" t="s">
        <v>33</v>
      </c>
      <c r="F20" s="101"/>
      <c r="G20" s="101"/>
      <c r="H20" s="61"/>
    </row>
    <row r="21" spans="1:8" s="4" customFormat="1" ht="40" customHeight="1" x14ac:dyDescent="0.3">
      <c r="A21" s="65" t="s">
        <v>30</v>
      </c>
      <c r="B21" s="66"/>
      <c r="C21" s="66"/>
      <c r="D21" s="12" t="s">
        <v>29</v>
      </c>
      <c r="E21" s="87" t="s">
        <v>143</v>
      </c>
      <c r="F21" s="88"/>
      <c r="G21" s="88"/>
      <c r="H21" s="89"/>
    </row>
    <row r="22" spans="1:8" s="4" customFormat="1" ht="45" customHeight="1" x14ac:dyDescent="0.3">
      <c r="A22" s="90" t="s">
        <v>24</v>
      </c>
      <c r="B22" s="91"/>
      <c r="C22" s="92"/>
      <c r="D22" s="31"/>
      <c r="E22" s="29"/>
      <c r="F22" s="29" t="e">
        <f>VLOOKUP(E22,Tabla1[],6,FALSE)</f>
        <v>#N/A</v>
      </c>
      <c r="G22" s="29" t="e">
        <f>VLOOKUP(E22,Tabla1[],4,FALSE)</f>
        <v>#N/A</v>
      </c>
      <c r="H22" s="62" t="e">
        <f>VLOOKUP(E22,Tabla1[],7,FALSE)</f>
        <v>#N/A</v>
      </c>
    </row>
    <row r="23" spans="1:8" s="4" customFormat="1" ht="40" customHeight="1" x14ac:dyDescent="0.3">
      <c r="A23" s="90" t="s">
        <v>25</v>
      </c>
      <c r="B23" s="91"/>
      <c r="C23" s="92"/>
      <c r="D23" s="31"/>
      <c r="E23" s="66" t="s">
        <v>41</v>
      </c>
      <c r="F23" s="66"/>
      <c r="G23" s="66"/>
      <c r="H23" s="98"/>
    </row>
    <row r="24" spans="1:8" s="4" customFormat="1" ht="40" customHeight="1" x14ac:dyDescent="0.3">
      <c r="A24" s="90" t="s">
        <v>26</v>
      </c>
      <c r="B24" s="91"/>
      <c r="C24" s="92"/>
      <c r="D24" s="31"/>
      <c r="E24" s="103"/>
      <c r="F24" s="103"/>
      <c r="G24" s="103"/>
      <c r="H24" s="104"/>
    </row>
    <row r="25" spans="1:8" s="4" customFormat="1" ht="40" customHeight="1" x14ac:dyDescent="0.3">
      <c r="A25" s="90" t="s">
        <v>27</v>
      </c>
      <c r="B25" s="91"/>
      <c r="C25" s="92"/>
      <c r="D25" s="31"/>
      <c r="E25" s="66" t="s">
        <v>42</v>
      </c>
      <c r="F25" s="66"/>
      <c r="G25" s="66"/>
      <c r="H25" s="98"/>
    </row>
    <row r="26" spans="1:8" s="4" customFormat="1" ht="40" customHeight="1" thickBot="1" x14ac:dyDescent="0.35">
      <c r="A26" s="76" t="s">
        <v>28</v>
      </c>
      <c r="B26" s="77"/>
      <c r="C26" s="78"/>
      <c r="D26" s="32"/>
      <c r="E26" s="14" t="s">
        <v>34</v>
      </c>
      <c r="F26" s="27"/>
      <c r="G26" s="14" t="s">
        <v>37</v>
      </c>
      <c r="H26" s="58"/>
    </row>
    <row r="27" spans="1:8" s="4" customFormat="1" ht="40" customHeight="1" thickTop="1" x14ac:dyDescent="0.3">
      <c r="A27" s="72" t="s">
        <v>54</v>
      </c>
      <c r="B27" s="73"/>
      <c r="C27" s="73"/>
      <c r="D27" s="74"/>
      <c r="E27" s="74"/>
      <c r="F27" s="74"/>
      <c r="G27" s="73"/>
      <c r="H27" s="75"/>
    </row>
    <row r="28" spans="1:8" s="4" customFormat="1" ht="40" customHeight="1" x14ac:dyDescent="0.3">
      <c r="A28" s="67" t="s">
        <v>35</v>
      </c>
      <c r="B28" s="69"/>
      <c r="C28" s="69"/>
      <c r="D28" s="70" t="s">
        <v>36</v>
      </c>
      <c r="E28" s="81" t="s">
        <v>200</v>
      </c>
      <c r="F28" s="82"/>
      <c r="G28" s="69" t="s">
        <v>44</v>
      </c>
      <c r="H28" s="79"/>
    </row>
    <row r="29" spans="1:8" s="4" customFormat="1" ht="40" customHeight="1" thickBot="1" x14ac:dyDescent="0.35">
      <c r="A29" s="68"/>
      <c r="B29" s="86"/>
      <c r="C29" s="86"/>
      <c r="D29" s="71"/>
      <c r="E29" s="83"/>
      <c r="F29" s="84"/>
      <c r="G29" s="85"/>
      <c r="H29" s="80"/>
    </row>
    <row r="30" spans="1:8" ht="10" customHeight="1" x14ac:dyDescent="0.3">
      <c r="A30" s="3"/>
      <c r="B30" s="3"/>
      <c r="C30" s="3"/>
      <c r="D30" s="3"/>
      <c r="E30" s="3"/>
      <c r="F30" s="3"/>
      <c r="G30" s="3"/>
      <c r="H30" s="2"/>
    </row>
    <row r="31" spans="1:8" ht="10" customHeight="1" x14ac:dyDescent="0.3">
      <c r="A31" s="3"/>
      <c r="B31" s="3"/>
      <c r="C31" s="3"/>
      <c r="D31" s="3"/>
      <c r="E31" s="3"/>
      <c r="F31" s="3"/>
      <c r="G31" s="3"/>
      <c r="H31" s="2"/>
    </row>
    <row r="32" spans="1:8" ht="10" customHeight="1" x14ac:dyDescent="0.3">
      <c r="A32" s="3"/>
      <c r="B32" s="3"/>
      <c r="C32" s="3"/>
      <c r="D32" s="3"/>
      <c r="E32" s="3"/>
      <c r="F32" s="3"/>
      <c r="G32" s="3"/>
      <c r="H32" s="2"/>
    </row>
    <row r="33" spans="1:8" ht="10" customHeight="1" x14ac:dyDescent="0.3">
      <c r="A33" s="3"/>
      <c r="B33" s="3"/>
      <c r="C33" s="3"/>
      <c r="D33" s="3"/>
      <c r="E33" s="3"/>
      <c r="F33" s="3"/>
      <c r="G33" s="3"/>
      <c r="H33" s="2"/>
    </row>
    <row r="34" spans="1:8" ht="10" customHeight="1" x14ac:dyDescent="0.3">
      <c r="A34" s="3"/>
      <c r="B34" s="3"/>
      <c r="C34" s="3"/>
      <c r="D34" s="3"/>
      <c r="E34" s="3"/>
      <c r="F34" s="3"/>
      <c r="G34" s="3"/>
      <c r="H34" s="2"/>
    </row>
    <row r="35" spans="1:8" ht="10" customHeight="1" x14ac:dyDescent="0.3">
      <c r="A35" s="3"/>
      <c r="B35" s="3"/>
      <c r="C35" s="3"/>
      <c r="D35" s="3"/>
      <c r="E35" s="3"/>
      <c r="F35" s="3"/>
      <c r="G35" s="3"/>
      <c r="H35" s="2"/>
    </row>
    <row r="41" spans="1:8" ht="10" customHeight="1" x14ac:dyDescent="0.3">
      <c r="A41" s="2"/>
      <c r="B41" s="2"/>
      <c r="C41" s="2"/>
      <c r="D41" s="2"/>
      <c r="E41" s="2"/>
      <c r="F41" s="2"/>
      <c r="G41" s="2"/>
      <c r="H41" s="2"/>
    </row>
    <row r="42" spans="1:8" ht="10" customHeight="1" x14ac:dyDescent="0.3">
      <c r="A42" s="2"/>
      <c r="B42" s="2"/>
      <c r="C42" s="2"/>
      <c r="D42" s="2"/>
      <c r="E42" s="2"/>
      <c r="F42" s="2"/>
      <c r="G42" s="2"/>
      <c r="H42" s="2"/>
    </row>
    <row r="43" spans="1:8" ht="10" customHeight="1" x14ac:dyDescent="0.3">
      <c r="A43" s="2"/>
      <c r="B43" s="2"/>
      <c r="C43" s="2"/>
      <c r="D43" s="2"/>
      <c r="E43" s="2"/>
      <c r="F43" s="2"/>
      <c r="G43" s="2"/>
      <c r="H43" s="2"/>
    </row>
    <row r="44" spans="1:8" ht="10" customHeight="1" x14ac:dyDescent="0.3">
      <c r="A44" s="2"/>
      <c r="B44" s="2"/>
      <c r="C44" s="2"/>
      <c r="D44" s="2"/>
      <c r="E44" s="2"/>
      <c r="F44" s="2"/>
      <c r="G44" s="2"/>
      <c r="H44" s="2"/>
    </row>
    <row r="45" spans="1:8" ht="10" customHeight="1" x14ac:dyDescent="0.3">
      <c r="A45" s="2"/>
      <c r="B45" s="2"/>
      <c r="C45" s="2"/>
      <c r="D45" s="2"/>
      <c r="E45" s="2"/>
      <c r="F45" s="2"/>
      <c r="G45" s="2"/>
      <c r="H45" s="2"/>
    </row>
    <row r="46" spans="1:8" ht="10" customHeight="1" x14ac:dyDescent="0.3">
      <c r="A46" s="2"/>
      <c r="B46" s="2"/>
      <c r="C46" s="2"/>
      <c r="D46" s="2"/>
      <c r="E46" s="2"/>
      <c r="F46" s="2"/>
      <c r="G46" s="2"/>
      <c r="H46" s="2"/>
    </row>
    <row r="47" spans="1:8" ht="10" customHeight="1" x14ac:dyDescent="0.3">
      <c r="A47" s="2"/>
      <c r="B47" s="2"/>
      <c r="C47" s="2"/>
      <c r="D47" s="2"/>
      <c r="E47" s="2"/>
      <c r="F47" s="2"/>
      <c r="G47" s="2"/>
      <c r="H47" s="2"/>
    </row>
    <row r="48" spans="1:8" ht="10" customHeight="1" x14ac:dyDescent="0.3">
      <c r="A48" s="2"/>
      <c r="B48" s="2"/>
      <c r="C48" s="2"/>
      <c r="D48" s="2"/>
      <c r="E48" s="2"/>
      <c r="F48" s="2"/>
      <c r="G48" s="2"/>
      <c r="H48" s="2"/>
    </row>
    <row r="49" spans="1:8" ht="10" customHeight="1" x14ac:dyDescent="0.3">
      <c r="A49" s="2"/>
      <c r="B49" s="2"/>
      <c r="C49" s="2"/>
      <c r="D49" s="2"/>
      <c r="E49" s="2"/>
      <c r="F49" s="2"/>
      <c r="G49" s="2"/>
      <c r="H49" s="2"/>
    </row>
    <row r="50" spans="1:8" ht="10" customHeight="1" x14ac:dyDescent="0.3">
      <c r="A50" s="2"/>
      <c r="B50" s="2"/>
      <c r="C50" s="2"/>
      <c r="D50" s="2"/>
      <c r="E50" s="2"/>
      <c r="F50" s="2"/>
      <c r="G50" s="2"/>
      <c r="H50" s="2"/>
    </row>
    <row r="51" spans="1:8" ht="10" customHeight="1" x14ac:dyDescent="0.3">
      <c r="A51" s="3"/>
      <c r="B51" s="3"/>
      <c r="C51" s="3"/>
      <c r="D51" s="3"/>
      <c r="E51" s="3"/>
      <c r="F51" s="3"/>
      <c r="G51" s="3"/>
      <c r="H51" s="3"/>
    </row>
    <row r="52" spans="1:8" ht="10" customHeight="1" x14ac:dyDescent="0.3">
      <c r="A52" s="2"/>
      <c r="B52" s="2"/>
      <c r="C52" s="2"/>
      <c r="D52" s="2"/>
      <c r="E52" s="2"/>
      <c r="F52" s="2"/>
      <c r="G52" s="2"/>
      <c r="H52" s="2"/>
    </row>
    <row r="53" spans="1:8" ht="10" customHeight="1" x14ac:dyDescent="0.3">
      <c r="A53" s="2"/>
      <c r="B53" s="2"/>
      <c r="C53" s="2"/>
      <c r="D53" s="2"/>
      <c r="E53" s="2"/>
      <c r="F53" s="2"/>
      <c r="G53" s="2"/>
      <c r="H53" s="2"/>
    </row>
    <row r="54" spans="1:8" ht="10" customHeight="1" x14ac:dyDescent="0.3">
      <c r="A54" s="2"/>
      <c r="B54" s="2"/>
      <c r="C54" s="2"/>
      <c r="D54" s="2"/>
      <c r="E54" s="2"/>
      <c r="F54" s="2"/>
      <c r="G54" s="2"/>
      <c r="H54" s="2"/>
    </row>
    <row r="55" spans="1:8" ht="10" customHeight="1" x14ac:dyDescent="0.3">
      <c r="A55" s="2"/>
      <c r="B55" s="2"/>
      <c r="C55" s="2"/>
      <c r="D55" s="2"/>
      <c r="E55" s="2"/>
      <c r="F55" s="2"/>
      <c r="G55" s="2"/>
      <c r="H55" s="2"/>
    </row>
    <row r="56" spans="1:8" ht="10" customHeight="1" x14ac:dyDescent="0.3">
      <c r="A56" s="2"/>
      <c r="B56" s="2"/>
      <c r="C56" s="2"/>
      <c r="D56" s="2"/>
      <c r="E56" s="2"/>
      <c r="F56" s="2"/>
      <c r="G56" s="2"/>
      <c r="H56" s="2"/>
    </row>
    <row r="57" spans="1:8" ht="10" customHeight="1" x14ac:dyDescent="0.3">
      <c r="A57" s="2"/>
      <c r="B57" s="2"/>
      <c r="C57" s="2"/>
      <c r="D57" s="2"/>
      <c r="E57" s="2"/>
      <c r="F57" s="2"/>
      <c r="G57" s="2"/>
      <c r="H57" s="2"/>
    </row>
    <row r="58" spans="1:8" ht="10" customHeight="1" x14ac:dyDescent="0.3">
      <c r="A58" s="3"/>
      <c r="B58" s="2"/>
      <c r="C58" s="2"/>
      <c r="D58" s="2"/>
      <c r="E58" s="2"/>
      <c r="F58" s="2"/>
      <c r="G58" s="2"/>
      <c r="H58" s="2"/>
    </row>
    <row r="59" spans="1:8" ht="10" customHeight="1" x14ac:dyDescent="0.3">
      <c r="A59" s="2"/>
      <c r="B59" s="2"/>
      <c r="C59" s="2"/>
      <c r="D59" s="2"/>
      <c r="E59" s="2"/>
      <c r="F59" s="2"/>
      <c r="G59" s="2"/>
      <c r="H59" s="2"/>
    </row>
    <row r="60" spans="1:8" ht="10" customHeight="1" x14ac:dyDescent="0.3">
      <c r="A60" s="2"/>
      <c r="B60" s="2"/>
      <c r="C60" s="2"/>
      <c r="D60" s="2"/>
      <c r="E60" s="2"/>
      <c r="F60" s="2"/>
      <c r="G60" s="2"/>
      <c r="H60" s="2"/>
    </row>
    <row r="61" spans="1:8" ht="10" customHeight="1" x14ac:dyDescent="0.3">
      <c r="A61" s="2"/>
      <c r="B61" s="2"/>
      <c r="C61" s="2"/>
      <c r="D61" s="2"/>
      <c r="E61" s="2"/>
      <c r="F61" s="2"/>
      <c r="G61" s="2"/>
      <c r="H61" s="2"/>
    </row>
    <row r="62" spans="1:8" ht="10" customHeight="1" x14ac:dyDescent="0.3">
      <c r="A62" s="2"/>
      <c r="B62" s="2"/>
      <c r="C62" s="2"/>
      <c r="D62" s="2"/>
      <c r="E62" s="2"/>
      <c r="F62" s="2"/>
      <c r="G62" s="2"/>
      <c r="H62" s="2"/>
    </row>
    <row r="63" spans="1:8" ht="10" customHeight="1" x14ac:dyDescent="0.3"/>
    <row r="64" spans="1:8" ht="10" customHeight="1" x14ac:dyDescent="0.3">
      <c r="A64" s="2"/>
      <c r="B64" s="2"/>
      <c r="C64" s="2"/>
      <c r="D64" s="2"/>
      <c r="E64" s="2"/>
      <c r="F64" s="2"/>
      <c r="G64" s="2"/>
      <c r="H64" s="2"/>
    </row>
    <row r="65" spans="1:8" ht="10" customHeight="1" x14ac:dyDescent="0.3">
      <c r="A65" s="2"/>
      <c r="B65" s="2"/>
      <c r="C65" s="2"/>
      <c r="D65" s="2"/>
      <c r="E65" s="2"/>
      <c r="F65" s="2"/>
      <c r="G65" s="2"/>
      <c r="H65" s="2"/>
    </row>
    <row r="66" spans="1:8" ht="10" customHeight="1" x14ac:dyDescent="0.3"/>
    <row r="67" spans="1:8" ht="10" customHeight="1" x14ac:dyDescent="0.3"/>
    <row r="68" spans="1:8" ht="10" customHeight="1" x14ac:dyDescent="0.3"/>
    <row r="69" spans="1:8" ht="10" customHeight="1" x14ac:dyDescent="0.3"/>
    <row r="70" spans="1:8" ht="10" customHeight="1" x14ac:dyDescent="0.3"/>
    <row r="71" spans="1:8" ht="10" customHeight="1" x14ac:dyDescent="0.3"/>
    <row r="72" spans="1:8" ht="10" customHeight="1" x14ac:dyDescent="0.3"/>
    <row r="73" spans="1:8" ht="10" customHeight="1" x14ac:dyDescent="0.3"/>
    <row r="74" spans="1:8" ht="10" customHeight="1" x14ac:dyDescent="0.3"/>
    <row r="75" spans="1:8" ht="10" customHeight="1" x14ac:dyDescent="0.3"/>
    <row r="76" spans="1:8" ht="10" customHeight="1" x14ac:dyDescent="0.3"/>
    <row r="77" spans="1:8" ht="10" customHeight="1" x14ac:dyDescent="0.3"/>
    <row r="78" spans="1:8" ht="10" customHeight="1" x14ac:dyDescent="0.3"/>
    <row r="79" spans="1:8" ht="10" customHeight="1" x14ac:dyDescent="0.3"/>
    <row r="80" spans="1:8" ht="10" customHeight="1" x14ac:dyDescent="0.3"/>
    <row r="81" ht="10" customHeight="1" x14ac:dyDescent="0.3"/>
    <row r="82" ht="10" customHeight="1" x14ac:dyDescent="0.3"/>
    <row r="83" ht="10" customHeight="1" x14ac:dyDescent="0.3"/>
    <row r="84" ht="10" customHeight="1" x14ac:dyDescent="0.3"/>
    <row r="85" ht="10" customHeight="1" x14ac:dyDescent="0.3"/>
    <row r="86" ht="10" customHeight="1" x14ac:dyDescent="0.3"/>
    <row r="87" ht="10" customHeight="1" x14ac:dyDescent="0.3"/>
    <row r="88" ht="10" customHeight="1" x14ac:dyDescent="0.3"/>
    <row r="89" ht="10" customHeight="1" x14ac:dyDescent="0.3"/>
    <row r="90" ht="10" customHeight="1" x14ac:dyDescent="0.3"/>
    <row r="91" ht="10" customHeight="1" x14ac:dyDescent="0.3"/>
    <row r="92" ht="10" customHeight="1" x14ac:dyDescent="0.3"/>
    <row r="93" ht="10" customHeight="1" x14ac:dyDescent="0.3"/>
    <row r="94" ht="10" customHeight="1" x14ac:dyDescent="0.3"/>
    <row r="95" ht="10" customHeight="1" x14ac:dyDescent="0.3"/>
    <row r="96" ht="10" customHeight="1" x14ac:dyDescent="0.3"/>
    <row r="97" ht="10" customHeight="1" x14ac:dyDescent="0.3"/>
    <row r="98" ht="10" customHeight="1" x14ac:dyDescent="0.3"/>
    <row r="99" ht="10" customHeight="1" x14ac:dyDescent="0.3"/>
    <row r="100" ht="10" customHeight="1" x14ac:dyDescent="0.3"/>
    <row r="101" ht="10" customHeight="1" x14ac:dyDescent="0.3"/>
    <row r="102" ht="10" customHeight="1" x14ac:dyDescent="0.3"/>
    <row r="103" ht="10" customHeight="1" x14ac:dyDescent="0.3"/>
    <row r="104" ht="10" customHeight="1" x14ac:dyDescent="0.3"/>
    <row r="105" ht="10" customHeight="1" x14ac:dyDescent="0.3"/>
    <row r="106" ht="10" customHeight="1" x14ac:dyDescent="0.3"/>
    <row r="107" ht="10" customHeight="1" x14ac:dyDescent="0.3"/>
    <row r="108" ht="10" customHeight="1" x14ac:dyDescent="0.3"/>
    <row r="109" ht="10" customHeight="1" x14ac:dyDescent="0.3"/>
    <row r="110" ht="10" customHeight="1" x14ac:dyDescent="0.3"/>
    <row r="111" ht="10" customHeight="1" x14ac:dyDescent="0.3"/>
    <row r="112" ht="10" customHeight="1" x14ac:dyDescent="0.3"/>
    <row r="113" ht="10" customHeight="1" x14ac:dyDescent="0.3"/>
    <row r="114" ht="10" customHeight="1" x14ac:dyDescent="0.3"/>
    <row r="115" ht="10" customHeight="1" x14ac:dyDescent="0.3"/>
    <row r="116" ht="10" customHeight="1" x14ac:dyDescent="0.3"/>
    <row r="117" ht="10" customHeight="1" x14ac:dyDescent="0.3"/>
    <row r="118" ht="10" customHeight="1" x14ac:dyDescent="0.3"/>
  </sheetData>
  <protectedRanges>
    <protectedRange algorithmName="SHA-512" hashValue="YfpOxvGGmC6+Fd4MuQtCZe6Zv2YHUg3w0rCji2cwn7mA8j3/h0gt4X7TyuBM4mJ73DVO3xuTLso7F9kI3heQSA==" saltValue="iWqZ+uRM1cSW3gxr6mB0xQ==" spinCount="100000" sqref="B6 D6 F6 H6 B8 B9 D8 D9 F8 F9 H8 H9 B11 B12 B13 D11 D12 F11 F12 H11 H12 D13 B14 E14 H14 D18 D19 H18 H19 H20 D22 E22 D23 D24 D25 E24 D26 F26 H26 B28 B29 E28 E29 H28" name="Rango1"/>
  </protectedRanges>
  <mergeCells count="40">
    <mergeCell ref="A10:H10"/>
    <mergeCell ref="B1:G1"/>
    <mergeCell ref="B2:G2"/>
    <mergeCell ref="B3:G3"/>
    <mergeCell ref="B4:G4"/>
    <mergeCell ref="A5:H5"/>
    <mergeCell ref="A7:H7"/>
    <mergeCell ref="A1:A4"/>
    <mergeCell ref="D13:H13"/>
    <mergeCell ref="B14:C14"/>
    <mergeCell ref="E14:F14"/>
    <mergeCell ref="A25:C25"/>
    <mergeCell ref="E25:H25"/>
    <mergeCell ref="A18:C18"/>
    <mergeCell ref="E18:G18"/>
    <mergeCell ref="A19:C19"/>
    <mergeCell ref="E19:G19"/>
    <mergeCell ref="A20:D20"/>
    <mergeCell ref="E20:G20"/>
    <mergeCell ref="A15:H15"/>
    <mergeCell ref="A16:D16"/>
    <mergeCell ref="A24:C24"/>
    <mergeCell ref="E24:H24"/>
    <mergeCell ref="E23:H23"/>
    <mergeCell ref="E16:H16"/>
    <mergeCell ref="A17:C17"/>
    <mergeCell ref="E17:G17"/>
    <mergeCell ref="A28:A29"/>
    <mergeCell ref="B28:C28"/>
    <mergeCell ref="D28:D29"/>
    <mergeCell ref="A27:H27"/>
    <mergeCell ref="A26:C26"/>
    <mergeCell ref="H28:H29"/>
    <mergeCell ref="E28:F29"/>
    <mergeCell ref="G28:G29"/>
    <mergeCell ref="B29:C29"/>
    <mergeCell ref="A21:C21"/>
    <mergeCell ref="E21:H21"/>
    <mergeCell ref="A22:C22"/>
    <mergeCell ref="A23:C23"/>
  </mergeCells>
  <conditionalFormatting sqref="A5:H12 A13:D13 A14:B14 D14 A15:H20 A21:E21">
    <cfRule type="containsBlanks" dxfId="3" priority="5">
      <formula>LEN(TRIM(A5))=0</formula>
    </cfRule>
  </conditionalFormatting>
  <conditionalFormatting sqref="A22:H27 G28:H28 A28:D29 G29">
    <cfRule type="containsBlanks" dxfId="2" priority="2">
      <formula>LEN(TRIM(A22))=0</formula>
    </cfRule>
  </conditionalFormatting>
  <conditionalFormatting sqref="F22:H22">
    <cfRule type="containsErrors" dxfId="1" priority="1">
      <formula>ISERROR(F22)</formula>
    </cfRule>
  </conditionalFormatting>
  <conditionalFormatting sqref="G14:H14">
    <cfRule type="containsBlanks" dxfId="0" priority="3">
      <formula>LEN(TRIM(G14))=0</formula>
    </cfRule>
  </conditionalFormatting>
  <pageMargins left="0.7" right="0.7" top="0.75" bottom="0.75" header="0.3" footer="0.3"/>
  <pageSetup paperSize="119" scale="61" orientation="portrait" r:id="rId1"/>
  <headerFooter>
    <oddFooter>&amp;R&amp;P/&amp;N</oddFooter>
  </headerFooter>
  <rowBreaks count="1" manualBreakCount="1">
    <brk id="29" max="7" man="1"/>
  </rowBreaks>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14A7AA72-EC5E-477C-8850-09DEFD719F09}">
          <x14:formula1>
            <xm:f>Litado!$A$2:$A$50</xm:f>
          </x14:formula1>
          <xm:sqref>E22</xm:sqref>
        </x14:dataValidation>
        <x14:dataValidation type="list" allowBlank="1" showInputMessage="1" showErrorMessage="1" xr:uid="{C9C70883-80CA-40C3-90DA-DB6BC9D350F3}">
          <x14:formula1>
            <xm:f>Litado!$I$2:$I$5</xm:f>
          </x14:formula1>
          <xm:sqref>B28:C29</xm:sqref>
        </x14:dataValidation>
        <x14:dataValidation type="list" allowBlank="1" showInputMessage="1" showErrorMessage="1" xr:uid="{149E14A2-9968-44ED-8C79-A661F0A09143}">
          <x14:formula1>
            <xm:f>Litado!$K$2:$K$3</xm:f>
          </x14:formula1>
          <xm:sqref>D18:D19 H18:H20 D22:D26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Litado</vt:lpstr>
      <vt:lpstr>Instructivo</vt:lpstr>
      <vt:lpstr>FORMATO</vt:lpstr>
      <vt:lpstr>FORMATO!Área_de_impresión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SENA</dc:creator>
  <cp:keywords/>
  <dc:description/>
  <cp:lastModifiedBy>Jhoban Steban Meneses Regifo</cp:lastModifiedBy>
  <cp:revision/>
  <cp:lastPrinted>2026-03-26T20:30:39Z</cp:lastPrinted>
  <dcterms:created xsi:type="dcterms:W3CDTF">2020-11-25T16:53:40Z</dcterms:created>
  <dcterms:modified xsi:type="dcterms:W3CDTF">2026-03-30T21:41:48Z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2026-03-08T00:39:18Z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61a46a8f-f338-4018-a586-a89f7096cbb0</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